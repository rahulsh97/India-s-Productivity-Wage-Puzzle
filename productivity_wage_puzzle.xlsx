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5d9bbda27eaf4b7/Documents/PIF/Macro/"/>
    </mc:Choice>
  </mc:AlternateContent>
  <xr:revisionPtr revIDLastSave="0" documentId="8_{1CEB1982-A896-4907-A3C7-C520277ED26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3" l="1"/>
  <c r="L17" i="3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M7" i="3"/>
  <c r="L7" i="3"/>
  <c r="L6" i="3"/>
  <c r="M6" i="3" s="1"/>
  <c r="L5" i="3"/>
  <c r="M5" i="3" s="1"/>
  <c r="L4" i="3"/>
  <c r="M4" i="3" s="1"/>
  <c r="L3" i="3"/>
  <c r="M3" i="3" s="1"/>
  <c r="L2" i="3"/>
  <c r="M2" i="3" s="1"/>
  <c r="P38" i="2"/>
  <c r="O38" i="2"/>
  <c r="M38" i="2"/>
  <c r="K38" i="2"/>
  <c r="P37" i="2"/>
  <c r="O37" i="2"/>
  <c r="M37" i="2"/>
  <c r="K37" i="2"/>
  <c r="P36" i="2"/>
  <c r="O36" i="2"/>
  <c r="M36" i="2"/>
  <c r="K36" i="2"/>
  <c r="P35" i="2"/>
  <c r="O35" i="2"/>
  <c r="M35" i="2"/>
  <c r="K35" i="2"/>
  <c r="P34" i="2"/>
  <c r="O34" i="2"/>
  <c r="M34" i="2"/>
  <c r="K34" i="2"/>
  <c r="P33" i="2"/>
  <c r="O33" i="2"/>
  <c r="M33" i="2"/>
  <c r="K33" i="2"/>
  <c r="P32" i="2"/>
  <c r="O32" i="2"/>
  <c r="M32" i="2"/>
  <c r="K32" i="2"/>
  <c r="P31" i="2"/>
  <c r="O31" i="2"/>
  <c r="M31" i="2"/>
  <c r="K31" i="2"/>
  <c r="P30" i="2"/>
  <c r="O30" i="2"/>
  <c r="M30" i="2"/>
  <c r="K30" i="2"/>
  <c r="P29" i="2"/>
  <c r="O29" i="2"/>
  <c r="M29" i="2"/>
  <c r="K29" i="2"/>
  <c r="P28" i="2"/>
  <c r="O28" i="2"/>
  <c r="M28" i="2"/>
  <c r="K28" i="2"/>
  <c r="P27" i="2"/>
  <c r="O27" i="2"/>
  <c r="M27" i="2"/>
  <c r="K27" i="2"/>
  <c r="P26" i="2"/>
  <c r="O26" i="2"/>
  <c r="M26" i="2"/>
  <c r="K26" i="2"/>
  <c r="P25" i="2"/>
  <c r="O25" i="2"/>
  <c r="M25" i="2"/>
  <c r="K25" i="2"/>
  <c r="P24" i="2"/>
  <c r="O24" i="2"/>
  <c r="M24" i="2"/>
  <c r="K24" i="2"/>
  <c r="P23" i="2"/>
  <c r="O23" i="2"/>
  <c r="M23" i="2"/>
  <c r="K23" i="2"/>
  <c r="P22" i="2"/>
  <c r="O22" i="2"/>
  <c r="M22" i="2"/>
  <c r="K22" i="2"/>
  <c r="P21" i="2"/>
  <c r="O21" i="2"/>
  <c r="M21" i="2"/>
  <c r="K21" i="2"/>
  <c r="P20" i="2"/>
  <c r="O20" i="2"/>
  <c r="M20" i="2"/>
  <c r="K20" i="2"/>
  <c r="P19" i="2"/>
  <c r="O19" i="2"/>
  <c r="M19" i="2"/>
  <c r="K19" i="2"/>
  <c r="P18" i="2"/>
  <c r="O18" i="2"/>
  <c r="M18" i="2"/>
  <c r="K18" i="2"/>
  <c r="P17" i="2"/>
  <c r="O17" i="2"/>
  <c r="M17" i="2"/>
  <c r="K17" i="2"/>
  <c r="P16" i="2"/>
  <c r="O16" i="2"/>
  <c r="M16" i="2"/>
  <c r="K16" i="2"/>
  <c r="P15" i="2"/>
  <c r="O15" i="2"/>
  <c r="M15" i="2"/>
  <c r="K15" i="2"/>
  <c r="P14" i="2"/>
  <c r="O14" i="2"/>
  <c r="M14" i="2"/>
  <c r="K14" i="2"/>
  <c r="P13" i="2"/>
  <c r="O13" i="2"/>
  <c r="M13" i="2"/>
  <c r="K13" i="2"/>
  <c r="P12" i="2"/>
  <c r="O12" i="2"/>
  <c r="M12" i="2"/>
  <c r="K12" i="2"/>
  <c r="P11" i="2"/>
  <c r="O11" i="2"/>
  <c r="M11" i="2"/>
  <c r="K11" i="2"/>
  <c r="P10" i="2"/>
  <c r="O10" i="2"/>
  <c r="M10" i="2"/>
  <c r="K10" i="2"/>
  <c r="P9" i="2"/>
  <c r="O9" i="2"/>
  <c r="M9" i="2"/>
  <c r="K9" i="2"/>
  <c r="P8" i="2"/>
  <c r="O8" i="2"/>
  <c r="M8" i="2"/>
  <c r="K8" i="2"/>
  <c r="P7" i="2"/>
  <c r="O7" i="2"/>
  <c r="M7" i="2"/>
  <c r="K7" i="2"/>
  <c r="P6" i="2"/>
  <c r="O6" i="2"/>
  <c r="M6" i="2"/>
  <c r="K6" i="2"/>
  <c r="P5" i="2"/>
  <c r="O5" i="2"/>
  <c r="M5" i="2"/>
  <c r="K5" i="2"/>
  <c r="P4" i="2"/>
  <c r="O4" i="2"/>
  <c r="M4" i="2"/>
  <c r="K4" i="2"/>
  <c r="P3" i="2"/>
  <c r="O3" i="2"/>
  <c r="M3" i="2"/>
  <c r="K3" i="2"/>
  <c r="P2" i="2"/>
  <c r="O2" i="2"/>
  <c r="M2" i="2"/>
  <c r="K2" i="2"/>
  <c r="J36" i="1"/>
  <c r="I36" i="1"/>
  <c r="J35" i="1"/>
  <c r="I35" i="1"/>
  <c r="J34" i="1"/>
  <c r="I34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5" i="1"/>
</calcChain>
</file>

<file path=xl/sharedStrings.xml><?xml version="1.0" encoding="utf-8"?>
<sst xmlns="http://schemas.openxmlformats.org/spreadsheetml/2006/main" count="867" uniqueCount="217">
  <si>
    <t>frequency</t>
  </si>
  <si>
    <t>year</t>
  </si>
  <si>
    <t>state/UT</t>
  </si>
  <si>
    <t>sector</t>
  </si>
  <si>
    <t>indicator</t>
  </si>
  <si>
    <t>broad_activity_category</t>
  </si>
  <si>
    <t>establishment_type</t>
  </si>
  <si>
    <t>value</t>
  </si>
  <si>
    <t>Annually</t>
  </si>
  <si>
    <t>2023-24</t>
  </si>
  <si>
    <t>Andhra Pradesh</t>
  </si>
  <si>
    <t>Combined</t>
  </si>
  <si>
    <t>State/UT-wise Estimated Annual Gross Value Added (GVA) Per Worker (Rs.)</t>
  </si>
  <si>
    <t>Manufacturing</t>
  </si>
  <si>
    <t>All Establishments(All)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</si>
  <si>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</si>
  <si>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</si>
  <si>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</si>
  <si>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</si>
  <si>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</si>
  <si>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</si>
  <si>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</si>
  <si>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</si>
  <si>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</si>
  <si>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</si>
  <si>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</si>
  <si>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</si>
  <si>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</si>
  <si>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</si>
  <si>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</si>
  <si>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</si>
  <si>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</si>
  <si>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</si>
  <si>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</si>
  <si>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</si>
  <si>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</si>
  <si>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</si>
  <si>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</si>
  <si>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</si>
  <si>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</si>
  <si>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</si>
  <si>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</si>
  <si>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</si>
  <si>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</si>
  <si>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</si>
  <si>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Dadra &amp; Nagar Haveli and Daman &amp; Diu</t>
  </si>
  <si>
    <t>Jammu &amp; Kashmir</t>
  </si>
  <si>
    <t>Ladakh</t>
  </si>
  <si>
    <t>Lakshadweep</t>
  </si>
  <si>
    <t>Puduchery</t>
  </si>
  <si>
    <t>All India</t>
  </si>
  <si>
    <t>GVA/Worker (ASI)</t>
  </si>
  <si>
    <t>Wages/worker (ASI)</t>
  </si>
  <si>
    <t>nic_classification</t>
  </si>
  <si>
    <t>state</t>
  </si>
  <si>
    <t>nic_code</t>
  </si>
  <si>
    <t>nic_description</t>
  </si>
  <si>
    <t>nic_type</t>
  </si>
  <si>
    <t>unit</t>
  </si>
  <si>
    <t>GVA</t>
  </si>
  <si>
    <t>No. of workers</t>
  </si>
  <si>
    <t>GVA/worker</t>
  </si>
  <si>
    <t>wages in lakh</t>
  </si>
  <si>
    <t>wages</t>
  </si>
  <si>
    <t>wage per person</t>
  </si>
  <si>
    <t>Gross Value Added</t>
  </si>
  <si>
    <t>99999</t>
  </si>
  <si>
    <t>All</t>
  </si>
  <si>
    <t>2-digit</t>
  </si>
  <si>
    <t>245833606</t>
  </si>
  <si>
    <t>₹ lakhs</t>
  </si>
  <si>
    <t>15519957</t>
  </si>
  <si>
    <t>33598653</t>
  </si>
  <si>
    <t>677</t>
  </si>
  <si>
    <t>138</t>
  </si>
  <si>
    <t>293</t>
  </si>
  <si>
    <t>9885576</t>
  </si>
  <si>
    <t>635844</t>
  </si>
  <si>
    <t>1541858</t>
  </si>
  <si>
    <t>33249</t>
  </si>
  <si>
    <t>3225</t>
  </si>
  <si>
    <t>4130</t>
  </si>
  <si>
    <t>2901973</t>
  </si>
  <si>
    <t>201498</t>
  </si>
  <si>
    <t>230230</t>
  </si>
  <si>
    <t>1595430</t>
  </si>
  <si>
    <t>117074</t>
  </si>
  <si>
    <t>163050</t>
  </si>
  <si>
    <t>83657</t>
  </si>
  <si>
    <t>5489</t>
  </si>
  <si>
    <t>14496</t>
  </si>
  <si>
    <t>Chattisgarh</t>
  </si>
  <si>
    <t>4348910</t>
  </si>
  <si>
    <t>239408</t>
  </si>
  <si>
    <t>566055</t>
  </si>
  <si>
    <t>Dadra &amp; Nagar Havelli and Daman &amp; Diu</t>
  </si>
  <si>
    <t>3307237</t>
  </si>
  <si>
    <t>222878</t>
  </si>
  <si>
    <t>431810</t>
  </si>
  <si>
    <t>719157</t>
  </si>
  <si>
    <t>67932</t>
  </si>
  <si>
    <t>160766</t>
  </si>
  <si>
    <t>1691959</t>
  </si>
  <si>
    <t>66181</t>
  </si>
  <si>
    <t>188786</t>
  </si>
  <si>
    <t>34920541</t>
  </si>
  <si>
    <t>1978830</t>
  </si>
  <si>
    <t>4361165</t>
  </si>
  <si>
    <t>15306213</t>
  </si>
  <si>
    <t>946914</t>
  </si>
  <si>
    <t>1905876</t>
  </si>
  <si>
    <t>3956086</t>
  </si>
  <si>
    <t>172793</t>
  </si>
  <si>
    <t>394578</t>
  </si>
  <si>
    <t>830367</t>
  </si>
  <si>
    <t>51826</t>
  </si>
  <si>
    <t>85169</t>
  </si>
  <si>
    <t>5472754</t>
  </si>
  <si>
    <t>190991</t>
  </si>
  <si>
    <t>611724</t>
  </si>
  <si>
    <t>18374703</t>
  </si>
  <si>
    <t>968922</t>
  </si>
  <si>
    <t>2501221</t>
  </si>
  <si>
    <t>3971766</t>
  </si>
  <si>
    <t>282993</t>
  </si>
  <si>
    <t>696931</t>
  </si>
  <si>
    <t>727</t>
  </si>
  <si>
    <t>223</t>
  </si>
  <si>
    <t>403</t>
  </si>
  <si>
    <t>25</t>
  </si>
  <si>
    <t>8</t>
  </si>
  <si>
    <t>8266521</t>
  </si>
  <si>
    <t>384680</t>
  </si>
  <si>
    <t>776693</t>
  </si>
  <si>
    <t>39209738</t>
  </si>
  <si>
    <t>1849633</t>
  </si>
  <si>
    <t>4925708</t>
  </si>
  <si>
    <t>11067</t>
  </si>
  <si>
    <t>4219</t>
  </si>
  <si>
    <t>3708</t>
  </si>
  <si>
    <t>211517</t>
  </si>
  <si>
    <t>10682</t>
  </si>
  <si>
    <t>20559</t>
  </si>
  <si>
    <t>2338</t>
  </si>
  <si>
    <t>1048</t>
  </si>
  <si>
    <t>959</t>
  </si>
  <si>
    <t>10616</t>
  </si>
  <si>
    <t>5082</t>
  </si>
  <si>
    <t>3105</t>
  </si>
  <si>
    <t>7867976</t>
  </si>
  <si>
    <t>314090</t>
  </si>
  <si>
    <t>861628</t>
  </si>
  <si>
    <t>Puducherry</t>
  </si>
  <si>
    <t>789106</t>
  </si>
  <si>
    <t>42240</t>
  </si>
  <si>
    <t>102934</t>
  </si>
  <si>
    <t>6036580</t>
  </si>
  <si>
    <t>627499</t>
  </si>
  <si>
    <t>1087965</t>
  </si>
  <si>
    <t>10197959</t>
  </si>
  <si>
    <t>596600</t>
  </si>
  <si>
    <t>1307860</t>
  </si>
  <si>
    <t>1570532</t>
  </si>
  <si>
    <t>20825</t>
  </si>
  <si>
    <t>61717</t>
  </si>
  <si>
    <t>25217514</t>
  </si>
  <si>
    <t>2475675</t>
  </si>
  <si>
    <t>4904057</t>
  </si>
  <si>
    <t>8198868</t>
  </si>
  <si>
    <t>772749</t>
  </si>
  <si>
    <t>1453286</t>
  </si>
  <si>
    <t>44844</t>
  </si>
  <si>
    <t>20601</t>
  </si>
  <si>
    <t>12855</t>
  </si>
  <si>
    <t>6166416</t>
  </si>
  <si>
    <t>351659</t>
  </si>
  <si>
    <t>690484</t>
  </si>
  <si>
    <t>16715687</t>
  </si>
  <si>
    <t>1280760</t>
  </si>
  <si>
    <t>2259552</t>
  </si>
  <si>
    <t>7915319</t>
  </si>
  <si>
    <t>608746</t>
  </si>
  <si>
    <t>1267033</t>
  </si>
  <si>
    <t>GVA/Worker (ASUSE)</t>
  </si>
  <si>
    <t>Total Number of Workers</t>
  </si>
  <si>
    <t>-</t>
  </si>
  <si>
    <t>2022-23</t>
  </si>
  <si>
    <t>14616971</t>
  </si>
  <si>
    <t>2021-22</t>
  </si>
  <si>
    <t>13609931</t>
  </si>
  <si>
    <t>2020-21</t>
  </si>
  <si>
    <t>12594563</t>
  </si>
  <si>
    <t>2019-20</t>
  </si>
  <si>
    <t>13058156</t>
  </si>
  <si>
    <t>2018-19</t>
  </si>
  <si>
    <t>12798588</t>
  </si>
  <si>
    <t>2017-18</t>
  </si>
  <si>
    <t>12224422</t>
  </si>
  <si>
    <t>2016-17</t>
  </si>
  <si>
    <t>11662947</t>
  </si>
  <si>
    <t>2015-16</t>
  </si>
  <si>
    <t>11136133</t>
  </si>
  <si>
    <t>2014-15</t>
  </si>
  <si>
    <t>10755288</t>
  </si>
  <si>
    <t>2013-14</t>
  </si>
  <si>
    <t>10444404</t>
  </si>
  <si>
    <t>2012-13</t>
  </si>
  <si>
    <t>10051626</t>
  </si>
  <si>
    <t>2011-12</t>
  </si>
  <si>
    <t>10438156</t>
  </si>
  <si>
    <t>2010-11</t>
  </si>
  <si>
    <t>9901970</t>
  </si>
  <si>
    <t>2009-10</t>
  </si>
  <si>
    <t>9157802</t>
  </si>
  <si>
    <t>2008-09</t>
  </si>
  <si>
    <t>8776745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</si>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</sst>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GVA/Worker (ASUSE)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Sheet1!$C$2:$C$38</c:f>
              <c:strCache>
                <c:ptCount val="37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Delhi</c:v>
                </c:pt>
                <c:pt idx="6">
                  <c:v>Goa</c:v>
                </c:pt>
                <c:pt idx="7">
                  <c:v>Gujarat</c:v>
                </c:pt>
                <c:pt idx="8">
                  <c:v>Haryana</c:v>
                </c:pt>
                <c:pt idx="9">
                  <c:v>Himachal Pradesh</c:v>
                </c:pt>
                <c:pt idx="10">
                  <c:v>Jharkhand</c:v>
                </c:pt>
                <c:pt idx="11">
                  <c:v>Karnataka</c:v>
                </c:pt>
                <c:pt idx="12">
                  <c:v>Kerala</c:v>
                </c:pt>
                <c:pt idx="13">
                  <c:v>Madhya Pradesh</c:v>
                </c:pt>
                <c:pt idx="14">
                  <c:v>Maharashtra</c:v>
                </c:pt>
                <c:pt idx="15">
                  <c:v>Manipur</c:v>
                </c:pt>
                <c:pt idx="16">
                  <c:v>Meghalaya</c:v>
                </c:pt>
                <c:pt idx="17">
                  <c:v>Mizoram</c:v>
                </c:pt>
                <c:pt idx="18">
                  <c:v>Nagaland</c:v>
                </c:pt>
                <c:pt idx="19">
                  <c:v>Odisha</c:v>
                </c:pt>
                <c:pt idx="20">
                  <c:v>Punjab</c:v>
                </c:pt>
                <c:pt idx="21">
                  <c:v>Rajasthan</c:v>
                </c:pt>
                <c:pt idx="22">
                  <c:v>Sikkim</c:v>
                </c:pt>
                <c:pt idx="23">
                  <c:v>Tamil Nadu</c:v>
                </c:pt>
                <c:pt idx="24">
                  <c:v>Telangana</c:v>
                </c:pt>
                <c:pt idx="25">
                  <c:v>Tripura</c:v>
                </c:pt>
                <c:pt idx="26">
                  <c:v>Uttar Pradesh</c:v>
                </c:pt>
                <c:pt idx="27">
                  <c:v>Uttarakhand</c:v>
                </c:pt>
                <c:pt idx="28">
                  <c:v>West Bengal</c:v>
                </c:pt>
                <c:pt idx="29">
                  <c:v>Andaman &amp; Nicobar Islands</c:v>
                </c:pt>
                <c:pt idx="30">
                  <c:v>Chandigarh</c:v>
                </c:pt>
                <c:pt idx="31">
                  <c:v>Dadra &amp; Nagar Haveli and Daman &amp; Diu</c:v>
                </c:pt>
                <c:pt idx="32">
                  <c:v>Jammu &amp; Kashmir</c:v>
                </c:pt>
                <c:pt idx="33">
                  <c:v>Ladakh</c:v>
                </c:pt>
                <c:pt idx="34">
                  <c:v>Lakshadweep</c:v>
                </c:pt>
                <c:pt idx="35">
                  <c:v>Puduchery</c:v>
                </c:pt>
                <c:pt idx="36">
                  <c:v>All India</c:v>
                </c:pt>
              </c:strCache>
            </c:strRef>
          </c:cat>
          <c:val>
            <c:numRef>
              <c:f>Sheet1!$H$2:$H$38</c:f>
              <c:numCache>
                <c:formatCode>General</c:formatCode>
                <c:ptCount val="37"/>
                <c:pt idx="0" formatCode="0.00">
                  <c:v>110779</c:v>
                </c:pt>
                <c:pt idx="1">
                  <c:v>106166</c:v>
                </c:pt>
                <c:pt idx="2" formatCode="0.00">
                  <c:v>126941</c:v>
                </c:pt>
                <c:pt idx="3" formatCode="0.00">
                  <c:v>100101</c:v>
                </c:pt>
                <c:pt idx="4" formatCode="0.00">
                  <c:v>80643</c:v>
                </c:pt>
                <c:pt idx="5" formatCode="0.00">
                  <c:v>203130</c:v>
                </c:pt>
                <c:pt idx="6" formatCode="0.00">
                  <c:v>231977</c:v>
                </c:pt>
                <c:pt idx="7" formatCode="0.00">
                  <c:v>142508</c:v>
                </c:pt>
                <c:pt idx="8" formatCode="0.00">
                  <c:v>188315</c:v>
                </c:pt>
                <c:pt idx="9" formatCode="0.00">
                  <c:v>106396</c:v>
                </c:pt>
                <c:pt idx="10" formatCode="0.00">
                  <c:v>92497</c:v>
                </c:pt>
                <c:pt idx="11" formatCode="0.00">
                  <c:v>117436</c:v>
                </c:pt>
                <c:pt idx="12" formatCode="0.00">
                  <c:v>187042</c:v>
                </c:pt>
                <c:pt idx="13" formatCode="0.00">
                  <c:v>65394</c:v>
                </c:pt>
                <c:pt idx="14" formatCode="0.00">
                  <c:v>136858</c:v>
                </c:pt>
                <c:pt idx="15" formatCode="0.00">
                  <c:v>97468</c:v>
                </c:pt>
                <c:pt idx="16" formatCode="0.00">
                  <c:v>86315</c:v>
                </c:pt>
                <c:pt idx="17" formatCode="0.00">
                  <c:v>199084</c:v>
                </c:pt>
                <c:pt idx="18" formatCode="0.00">
                  <c:v>140594</c:v>
                </c:pt>
                <c:pt idx="19" formatCode="0.00">
                  <c:v>55031</c:v>
                </c:pt>
                <c:pt idx="20" formatCode="0.00">
                  <c:v>161775</c:v>
                </c:pt>
                <c:pt idx="21" formatCode="0.00">
                  <c:v>138958</c:v>
                </c:pt>
                <c:pt idx="22" formatCode="0.00">
                  <c:v>240913</c:v>
                </c:pt>
                <c:pt idx="23" formatCode="0.00">
                  <c:v>132755</c:v>
                </c:pt>
                <c:pt idx="24" formatCode="0.00">
                  <c:v>119466</c:v>
                </c:pt>
                <c:pt idx="25" formatCode="0.00">
                  <c:v>120469</c:v>
                </c:pt>
                <c:pt idx="26" formatCode="0.00">
                  <c:v>88516</c:v>
                </c:pt>
                <c:pt idx="27" formatCode="0.00">
                  <c:v>148418</c:v>
                </c:pt>
                <c:pt idx="28" formatCode="0.00">
                  <c:v>68315</c:v>
                </c:pt>
                <c:pt idx="29" formatCode="0.00">
                  <c:v>138690</c:v>
                </c:pt>
                <c:pt idx="30" formatCode="0.00">
                  <c:v>150666</c:v>
                </c:pt>
                <c:pt idx="31" formatCode="0.00">
                  <c:v>157357</c:v>
                </c:pt>
                <c:pt idx="32" formatCode="0.00">
                  <c:v>93253</c:v>
                </c:pt>
                <c:pt idx="33" formatCode="0.00">
                  <c:v>149514</c:v>
                </c:pt>
                <c:pt idx="34" formatCode="0.00">
                  <c:v>63238</c:v>
                </c:pt>
                <c:pt idx="35" formatCode="0.00">
                  <c:v>155941</c:v>
                </c:pt>
                <c:pt idx="36" formatCode="0.00">
                  <c:v>112869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2-4608-825D-EEED109EB2B1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GVA/Worker (ASI)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Sheet1!$C$2:$C$38</c:f>
              <c:strCache>
                <c:ptCount val="37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Delhi</c:v>
                </c:pt>
                <c:pt idx="6">
                  <c:v>Goa</c:v>
                </c:pt>
                <c:pt idx="7">
                  <c:v>Gujarat</c:v>
                </c:pt>
                <c:pt idx="8">
                  <c:v>Haryana</c:v>
                </c:pt>
                <c:pt idx="9">
                  <c:v>Himachal Pradesh</c:v>
                </c:pt>
                <c:pt idx="10">
                  <c:v>Jharkhand</c:v>
                </c:pt>
                <c:pt idx="11">
                  <c:v>Karnataka</c:v>
                </c:pt>
                <c:pt idx="12">
                  <c:v>Kerala</c:v>
                </c:pt>
                <c:pt idx="13">
                  <c:v>Madhya Pradesh</c:v>
                </c:pt>
                <c:pt idx="14">
                  <c:v>Maharashtra</c:v>
                </c:pt>
                <c:pt idx="15">
                  <c:v>Manipur</c:v>
                </c:pt>
                <c:pt idx="16">
                  <c:v>Meghalaya</c:v>
                </c:pt>
                <c:pt idx="17">
                  <c:v>Mizoram</c:v>
                </c:pt>
                <c:pt idx="18">
                  <c:v>Nagaland</c:v>
                </c:pt>
                <c:pt idx="19">
                  <c:v>Odisha</c:v>
                </c:pt>
                <c:pt idx="20">
                  <c:v>Punjab</c:v>
                </c:pt>
                <c:pt idx="21">
                  <c:v>Rajasthan</c:v>
                </c:pt>
                <c:pt idx="22">
                  <c:v>Sikkim</c:v>
                </c:pt>
                <c:pt idx="23">
                  <c:v>Tamil Nadu</c:v>
                </c:pt>
                <c:pt idx="24">
                  <c:v>Telangana</c:v>
                </c:pt>
                <c:pt idx="25">
                  <c:v>Tripura</c:v>
                </c:pt>
                <c:pt idx="26">
                  <c:v>Uttar Pradesh</c:v>
                </c:pt>
                <c:pt idx="27">
                  <c:v>Uttarakhand</c:v>
                </c:pt>
                <c:pt idx="28">
                  <c:v>West Bengal</c:v>
                </c:pt>
                <c:pt idx="29">
                  <c:v>Andaman &amp; Nicobar Islands</c:v>
                </c:pt>
                <c:pt idx="30">
                  <c:v>Chandigarh</c:v>
                </c:pt>
                <c:pt idx="31">
                  <c:v>Dadra &amp; Nagar Haveli and Daman &amp; Diu</c:v>
                </c:pt>
                <c:pt idx="32">
                  <c:v>Jammu &amp; Kashmir</c:v>
                </c:pt>
                <c:pt idx="33">
                  <c:v>Ladakh</c:v>
                </c:pt>
                <c:pt idx="34">
                  <c:v>Lakshadweep</c:v>
                </c:pt>
                <c:pt idx="35">
                  <c:v>Puduchery</c:v>
                </c:pt>
                <c:pt idx="36">
                  <c:v>All India</c:v>
                </c:pt>
              </c:strCache>
            </c:strRef>
          </c:cat>
          <c:val>
            <c:numRef>
              <c:f>Sheet1!$I$2:$I$38</c:f>
              <c:numCache>
                <c:formatCode>0.00</c:formatCode>
                <c:ptCount val="37"/>
                <c:pt idx="0">
                  <c:v>1554717.1947836261</c:v>
                </c:pt>
                <c:pt idx="1">
                  <c:v>1030976.7441860465</c:v>
                </c:pt>
                <c:pt idx="2">
                  <c:v>1440199.4064457216</c:v>
                </c:pt>
                <c:pt idx="3">
                  <c:v>1362753.4721629056</c:v>
                </c:pt>
                <c:pt idx="4">
                  <c:v>1816526.5989440621</c:v>
                </c:pt>
                <c:pt idx="5">
                  <c:v>1058642.4659954072</c:v>
                </c:pt>
                <c:pt idx="6">
                  <c:v>2556563.0619059852</c:v>
                </c:pt>
                <c:pt idx="7">
                  <c:v>1764706.4679633926</c:v>
                </c:pt>
                <c:pt idx="8">
                  <c:v>1616431.1648153898</c:v>
                </c:pt>
                <c:pt idx="9">
                  <c:v>2289494.3660912188</c:v>
                </c:pt>
                <c:pt idx="10">
                  <c:v>2865451.251629658</c:v>
                </c:pt>
                <c:pt idx="11">
                  <c:v>1896406.8315096572</c:v>
                </c:pt>
                <c:pt idx="12">
                  <c:v>1403485.5985837106</c:v>
                </c:pt>
                <c:pt idx="13">
                  <c:v>2148934.4390142458</c:v>
                </c:pt>
                <c:pt idx="14">
                  <c:v>2119865.8328435966</c:v>
                </c:pt>
                <c:pt idx="15">
                  <c:v>262313.34439440625</c:v>
                </c:pt>
                <c:pt idx="16">
                  <c:v>1980125.4446732821</c:v>
                </c:pt>
                <c:pt idx="17">
                  <c:v>223091.6030534351</c:v>
                </c:pt>
                <c:pt idx="18">
                  <c:v>208894.13616686343</c:v>
                </c:pt>
                <c:pt idx="19">
                  <c:v>2505006.8451717659</c:v>
                </c:pt>
                <c:pt idx="20">
                  <c:v>962006.31395428523</c:v>
                </c:pt>
                <c:pt idx="21">
                  <c:v>1709346.1280590009</c:v>
                </c:pt>
                <c:pt idx="22">
                  <c:v>7541570.2280912362</c:v>
                </c:pt>
                <c:pt idx="23">
                  <c:v>1018611.6513678088</c:v>
                </c:pt>
                <c:pt idx="24">
                  <c:v>1061000.14364302</c:v>
                </c:pt>
                <c:pt idx="25">
                  <c:v>217678.75345856996</c:v>
                </c:pt>
                <c:pt idx="26">
                  <c:v>1305138.1211155877</c:v>
                </c:pt>
                <c:pt idx="27">
                  <c:v>1753521.4511785565</c:v>
                </c:pt>
                <c:pt idx="28">
                  <c:v>1300266.2851172739</c:v>
                </c:pt>
                <c:pt idx="29">
                  <c:v>490579.71014492755</c:v>
                </c:pt>
                <c:pt idx="30">
                  <c:v>1524084.5327017673</c:v>
                </c:pt>
                <c:pt idx="31">
                  <c:v>1483877.7268281302</c:v>
                </c:pt>
                <c:pt idx="32">
                  <c:v>1602220.8929880755</c:v>
                </c:pt>
                <c:pt idx="33">
                  <c:v>326008.96860986546</c:v>
                </c:pt>
                <c:pt idx="34">
                  <c:v>312500</c:v>
                </c:pt>
                <c:pt idx="35">
                  <c:v>1868148.6742424243</c:v>
                </c:pt>
                <c:pt idx="36">
                  <c:v>1583983.8087180266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B2-4608-825D-EEED109EB2B1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Wages/worker (ASI)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Sheet1!$C$2:$C$38</c:f>
              <c:strCache>
                <c:ptCount val="37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Delhi</c:v>
                </c:pt>
                <c:pt idx="6">
                  <c:v>Goa</c:v>
                </c:pt>
                <c:pt idx="7">
                  <c:v>Gujarat</c:v>
                </c:pt>
                <c:pt idx="8">
                  <c:v>Haryana</c:v>
                </c:pt>
                <c:pt idx="9">
                  <c:v>Himachal Pradesh</c:v>
                </c:pt>
                <c:pt idx="10">
                  <c:v>Jharkhand</c:v>
                </c:pt>
                <c:pt idx="11">
                  <c:v>Karnataka</c:v>
                </c:pt>
                <c:pt idx="12">
                  <c:v>Kerala</c:v>
                </c:pt>
                <c:pt idx="13">
                  <c:v>Madhya Pradesh</c:v>
                </c:pt>
                <c:pt idx="14">
                  <c:v>Maharashtra</c:v>
                </c:pt>
                <c:pt idx="15">
                  <c:v>Manipur</c:v>
                </c:pt>
                <c:pt idx="16">
                  <c:v>Meghalaya</c:v>
                </c:pt>
                <c:pt idx="17">
                  <c:v>Mizoram</c:v>
                </c:pt>
                <c:pt idx="18">
                  <c:v>Nagaland</c:v>
                </c:pt>
                <c:pt idx="19">
                  <c:v>Odisha</c:v>
                </c:pt>
                <c:pt idx="20">
                  <c:v>Punjab</c:v>
                </c:pt>
                <c:pt idx="21">
                  <c:v>Rajasthan</c:v>
                </c:pt>
                <c:pt idx="22">
                  <c:v>Sikkim</c:v>
                </c:pt>
                <c:pt idx="23">
                  <c:v>Tamil Nadu</c:v>
                </c:pt>
                <c:pt idx="24">
                  <c:v>Telangana</c:v>
                </c:pt>
                <c:pt idx="25">
                  <c:v>Tripura</c:v>
                </c:pt>
                <c:pt idx="26">
                  <c:v>Uttar Pradesh</c:v>
                </c:pt>
                <c:pt idx="27">
                  <c:v>Uttarakhand</c:v>
                </c:pt>
                <c:pt idx="28">
                  <c:v>West Bengal</c:v>
                </c:pt>
                <c:pt idx="29">
                  <c:v>Andaman &amp; Nicobar Islands</c:v>
                </c:pt>
                <c:pt idx="30">
                  <c:v>Chandigarh</c:v>
                </c:pt>
                <c:pt idx="31">
                  <c:v>Dadra &amp; Nagar Haveli and Daman &amp; Diu</c:v>
                </c:pt>
                <c:pt idx="32">
                  <c:v>Jammu &amp; Kashmir</c:v>
                </c:pt>
                <c:pt idx="33">
                  <c:v>Ladakh</c:v>
                </c:pt>
                <c:pt idx="34">
                  <c:v>Lakshadweep</c:v>
                </c:pt>
                <c:pt idx="35">
                  <c:v>Puduchery</c:v>
                </c:pt>
                <c:pt idx="36">
                  <c:v>All India</c:v>
                </c:pt>
              </c:strCache>
            </c:strRef>
          </c:cat>
          <c:val>
            <c:numRef>
              <c:f>Sheet1!$J$2:$J$38</c:f>
              <c:numCache>
                <c:formatCode>0.00</c:formatCode>
                <c:ptCount val="37"/>
                <c:pt idx="0">
                  <c:v>242489.98181944</c:v>
                </c:pt>
                <c:pt idx="1">
                  <c:v>128062.01550387597</c:v>
                </c:pt>
                <c:pt idx="2">
                  <c:v>114259.19860246751</c:v>
                </c:pt>
                <c:pt idx="3">
                  <c:v>139270.88849787315</c:v>
                </c:pt>
                <c:pt idx="4">
                  <c:v>236439.46735280359</c:v>
                </c:pt>
                <c:pt idx="5">
                  <c:v>236657.2454807749</c:v>
                </c:pt>
                <c:pt idx="6">
                  <c:v>285257.09795862861</c:v>
                </c:pt>
                <c:pt idx="7">
                  <c:v>220391.08968430839</c:v>
                </c:pt>
                <c:pt idx="8">
                  <c:v>201272.34363416318</c:v>
                </c:pt>
                <c:pt idx="9">
                  <c:v>228353.00041089626</c:v>
                </c:pt>
                <c:pt idx="10">
                  <c:v>320289.43772219634</c:v>
                </c:pt>
                <c:pt idx="11">
                  <c:v>258144.72165974145</c:v>
                </c:pt>
                <c:pt idx="12">
                  <c:v>246271.46254500994</c:v>
                </c:pt>
                <c:pt idx="13">
                  <c:v>201906.25974836227</c:v>
                </c:pt>
                <c:pt idx="14">
                  <c:v>266307.31610000471</c:v>
                </c:pt>
                <c:pt idx="15">
                  <c:v>87888.12514813937</c:v>
                </c:pt>
                <c:pt idx="16">
                  <c:v>192463.95806028834</c:v>
                </c:pt>
                <c:pt idx="17">
                  <c:v>91507.633587786258</c:v>
                </c:pt>
                <c:pt idx="18">
                  <c:v>61097.992916174735</c:v>
                </c:pt>
                <c:pt idx="19">
                  <c:v>274325.19341589988</c:v>
                </c:pt>
                <c:pt idx="20">
                  <c:v>173381.15279864988</c:v>
                </c:pt>
                <c:pt idx="21">
                  <c:v>219218.90714046263</c:v>
                </c:pt>
                <c:pt idx="22">
                  <c:v>296360.14405762305</c:v>
                </c:pt>
                <c:pt idx="23">
                  <c:v>198089.69271006898</c:v>
                </c:pt>
                <c:pt idx="24">
                  <c:v>188067.01788032078</c:v>
                </c:pt>
                <c:pt idx="25">
                  <c:v>62399.883500800934</c:v>
                </c:pt>
                <c:pt idx="26">
                  <c:v>176422.74899278552</c:v>
                </c:pt>
                <c:pt idx="27">
                  <c:v>196350.44176318537</c:v>
                </c:pt>
                <c:pt idx="28">
                  <c:v>208138.2054255798</c:v>
                </c:pt>
                <c:pt idx="29">
                  <c:v>212318.84057971014</c:v>
                </c:pt>
                <c:pt idx="30">
                  <c:v>264091.82000364363</c:v>
                </c:pt>
                <c:pt idx="31">
                  <c:v>193742.76510018934</c:v>
                </c:pt>
                <c:pt idx="32">
                  <c:v>164336.43345039169</c:v>
                </c:pt>
                <c:pt idx="33">
                  <c:v>180717.48878923766</c:v>
                </c:pt>
                <c:pt idx="34">
                  <c:v>100000</c:v>
                </c:pt>
                <c:pt idx="35">
                  <c:v>243688.44696969696</c:v>
                </c:pt>
                <c:pt idx="36">
                  <c:v>216486.76603936468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B2-4608-825D-EEED109EB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257152"/>
        <c:axId val="451257632"/>
      </c:barChart>
      <c:catAx>
        <c:axId val="45125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257632"/>
        <c:crosses val="autoZero"/>
        <c:auto val="1"/>
        <c:lblAlgn val="ctr"/>
        <c:lblOffset val="100"/>
        <c:noMultiLvlLbl val="0"/>
      </c:catAx>
      <c:valAx>
        <c:axId val="45125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25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GVA/worker (Annual, in 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[1]Sheet1!$D$19</c:f>
              <c:strCache>
                <c:ptCount val="1"/>
                <c:pt idx="0">
                  <c:v>GVA/worker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0486068206415768E-2"/>
                  <c:y val="8.51588358492645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1F-4101-9B4D-6AFBE2710C8C}"/>
                </c:ext>
              </c:extLst>
            </c:dLbl>
            <c:dLbl>
              <c:idx val="1"/>
              <c:layout>
                <c:manualLayout>
                  <c:x val="-6.2020106418250308E-2"/>
                  <c:y val="-4.34828591942465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1F-4101-9B4D-6AFBE2710C8C}"/>
                </c:ext>
              </c:extLst>
            </c:dLbl>
            <c:dLbl>
              <c:idx val="3"/>
              <c:layout>
                <c:manualLayout>
                  <c:x val="-5.4600332721348024E-2"/>
                  <c:y val="5.489020172137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1F-4101-9B4D-6AFBE2710C8C}"/>
                </c:ext>
              </c:extLst>
            </c:dLbl>
            <c:dLbl>
              <c:idx val="4"/>
              <c:layout>
                <c:manualLayout>
                  <c:x val="-4.1615728751769131E-2"/>
                  <c:y val="7.00245187853220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1F-4101-9B4D-6AFBE2710C8C}"/>
                </c:ext>
              </c:extLst>
            </c:dLbl>
            <c:dLbl>
              <c:idx val="6"/>
              <c:layout>
                <c:manualLayout>
                  <c:x val="-5.2745389297122504E-2"/>
                  <c:y val="5.4890201721379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1F-4101-9B4D-6AFBE2710C8C}"/>
                </c:ext>
              </c:extLst>
            </c:dLbl>
            <c:dLbl>
              <c:idx val="8"/>
              <c:layout>
                <c:manualLayout>
                  <c:x val="-5.4600332721348059E-2"/>
                  <c:y val="9.27259943812358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1F-4101-9B4D-6AFBE2710C8C}"/>
                </c:ext>
              </c:extLst>
            </c:dLbl>
            <c:dLbl>
              <c:idx val="10"/>
              <c:layout>
                <c:manualLayout>
                  <c:x val="-7.5004710387829299E-2"/>
                  <c:y val="0.111643890711163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1F-4101-9B4D-6AFBE2710C8C}"/>
                </c:ext>
              </c:extLst>
            </c:dLbl>
            <c:dLbl>
              <c:idx val="12"/>
              <c:layout>
                <c:manualLayout>
                  <c:x val="-6.0165162994024746E-2"/>
                  <c:y val="0.1343453663070776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1F-4101-9B4D-6AFBE2710C8C}"/>
                </c:ext>
              </c:extLst>
            </c:dLbl>
            <c:dLbl>
              <c:idx val="13"/>
              <c:layout>
                <c:manualLayout>
                  <c:x val="-3.4195955054866889E-2"/>
                  <c:y val="0.1078603114451783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F1F-4101-9B4D-6AFBE2710C8C}"/>
                </c:ext>
              </c:extLst>
            </c:dLbl>
            <c:dLbl>
              <c:idx val="14"/>
              <c:layout>
                <c:manualLayout>
                  <c:x val="-7.2694940678325201E-2"/>
                  <c:y val="-4.726643846023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1F-4101-9B4D-6AFBE2710C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[1]Sheet1!$C$20:$C$35</c:f>
              <c:strCache>
                <c:ptCount val="16"/>
                <c:pt idx="0">
                  <c:v>2008-09</c:v>
                </c:pt>
                <c:pt idx="1">
                  <c:v>2009-10</c:v>
                </c:pt>
                <c:pt idx="2">
                  <c:v>2010-11</c:v>
                </c:pt>
                <c:pt idx="3">
                  <c:v>2011-12</c:v>
                </c:pt>
                <c:pt idx="4">
                  <c:v>2012-13</c:v>
                </c:pt>
                <c:pt idx="5">
                  <c:v>2013-14</c:v>
                </c:pt>
                <c:pt idx="6">
                  <c:v>2014-15</c:v>
                </c:pt>
                <c:pt idx="7">
                  <c:v>2015-16</c:v>
                </c:pt>
                <c:pt idx="8">
                  <c:v>2016-17</c:v>
                </c:pt>
                <c:pt idx="9">
                  <c:v>2017-18</c:v>
                </c:pt>
                <c:pt idx="10">
                  <c:v>2018-19</c:v>
                </c:pt>
                <c:pt idx="11">
                  <c:v>2019-20</c:v>
                </c:pt>
                <c:pt idx="12">
                  <c:v>2020-21</c:v>
                </c:pt>
                <c:pt idx="13">
                  <c:v>2021-22</c:v>
                </c:pt>
                <c:pt idx="14">
                  <c:v>2022-23</c:v>
                </c:pt>
                <c:pt idx="15">
                  <c:v>2023-24</c:v>
                </c:pt>
              </c:strCache>
            </c:strRef>
          </c:cat>
          <c:val>
            <c:numRef>
              <c:f>[1]Sheet1!$D$20:$D$35</c:f>
              <c:numCache>
                <c:formatCode>General</c:formatCode>
                <c:ptCount val="16"/>
                <c:pt idx="0">
                  <c:v>696512.7504558923</c:v>
                </c:pt>
                <c:pt idx="1">
                  <c:v>761299.04315467842</c:v>
                </c:pt>
                <c:pt idx="2">
                  <c:v>833302.21158011991</c:v>
                </c:pt>
                <c:pt idx="3">
                  <c:v>867211.54579410388</c:v>
                </c:pt>
                <c:pt idx="4">
                  <c:v>1002106.027422827</c:v>
                </c:pt>
                <c:pt idx="5">
                  <c:v>1019791.6894061164</c:v>
                </c:pt>
                <c:pt idx="6">
                  <c:v>1082911.4850295037</c:v>
                </c:pt>
                <c:pt idx="7">
                  <c:v>1143376.8616089625</c:v>
                </c:pt>
                <c:pt idx="8">
                  <c:v>1172988.6880219895</c:v>
                </c:pt>
                <c:pt idx="9">
                  <c:v>1200032.54959621</c:v>
                </c:pt>
                <c:pt idx="10">
                  <c:v>1201710.1261482907</c:v>
                </c:pt>
                <c:pt idx="11">
                  <c:v>1137790.9101407579</c:v>
                </c:pt>
                <c:pt idx="12">
                  <c:v>1284005.217171886</c:v>
                </c:pt>
                <c:pt idx="13">
                  <c:v>1504762.595783917</c:v>
                </c:pt>
                <c:pt idx="14">
                  <c:v>1503085.7282264568</c:v>
                </c:pt>
                <c:pt idx="15">
                  <c:v>1583983.8087180266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1F-4101-9B4D-6AFBE2710C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20800704"/>
        <c:axId val="320800224"/>
      </c:lineChart>
      <c:catAx>
        <c:axId val="32080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00224"/>
        <c:crosses val="autoZero"/>
        <c:auto val="1"/>
        <c:lblAlgn val="ctr"/>
        <c:lblOffset val="100"/>
        <c:noMultiLvlLbl val="0"/>
      </c:catAx>
      <c:valAx>
        <c:axId val="32080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0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213360</xdr:colOff>
      <xdr:row>10</xdr:row>
      <xdr:rowOff>76200</xdr:rowOff>
    </xdr:from>
    <xdr:to>
      <xdr:col>22</xdr:col>
      <xdr:colOff>373380</xdr:colOff>
      <xdr:row>35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07026B-38E3-8CD1-7B9B-146E0F6E6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14</xdr:row>
      <xdr:rowOff>3810</xdr:rowOff>
    </xdr:from>
    <xdr:to>
      <xdr:col>16</xdr:col>
      <xdr:colOff>236220</xdr:colOff>
      <xdr:row>32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1C3B8-9731-40B4-A763-C750053ED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riddhi\Downloads\asi_896.xlsx" TargetMode="External"/><Relationship Id="rId1" Type="http://schemas.openxmlformats.org/officeDocument/2006/relationships/externalLinkPath" Target="file:///C:\Users\Samriddhi\Downloads\asi_89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9">
          <cell r="D19" t="str">
            <v>GVA/worker</v>
          </cell>
        </row>
        <row r="20">
          <cell r="C20" t="str">
            <v>2008-09</v>
          </cell>
          <cell r="D20">
            <v>696512.7504558923</v>
          </cell>
        </row>
        <row r="21">
          <cell r="C21" t="str">
            <v>2009-10</v>
          </cell>
          <cell r="D21">
            <v>761299.04315467842</v>
          </cell>
        </row>
        <row r="22">
          <cell r="C22" t="str">
            <v>2010-11</v>
          </cell>
          <cell r="D22">
            <v>833302.21158011991</v>
          </cell>
        </row>
        <row r="23">
          <cell r="C23" t="str">
            <v>2011-12</v>
          </cell>
          <cell r="D23">
            <v>867211.54579410388</v>
          </cell>
        </row>
        <row r="24">
          <cell r="C24" t="str">
            <v>2012-13</v>
          </cell>
          <cell r="D24">
            <v>1002106.027422827</v>
          </cell>
        </row>
        <row r="25">
          <cell r="C25" t="str">
            <v>2013-14</v>
          </cell>
          <cell r="D25">
            <v>1019791.6894061164</v>
          </cell>
        </row>
        <row r="26">
          <cell r="C26" t="str">
            <v>2014-15</v>
          </cell>
          <cell r="D26">
            <v>1082911.4850295037</v>
          </cell>
        </row>
        <row r="27">
          <cell r="C27" t="str">
            <v>2015-16</v>
          </cell>
          <cell r="D27">
            <v>1143376.8616089625</v>
          </cell>
        </row>
        <row r="28">
          <cell r="C28" t="str">
            <v>2016-17</v>
          </cell>
          <cell r="D28">
            <v>1172988.6880219895</v>
          </cell>
        </row>
        <row r="29">
          <cell r="C29" t="str">
            <v>2017-18</v>
          </cell>
          <cell r="D29">
            <v>1200032.54959621</v>
          </cell>
        </row>
        <row r="30">
          <cell r="C30" t="str">
            <v>2018-19</v>
          </cell>
          <cell r="D30">
            <v>1201710.1261482907</v>
          </cell>
        </row>
        <row r="31">
          <cell r="C31" t="str">
            <v>2019-20</v>
          </cell>
          <cell r="D31">
            <v>1137790.9101407579</v>
          </cell>
        </row>
        <row r="32">
          <cell r="C32" t="str">
            <v>2020-21</v>
          </cell>
          <cell r="D32">
            <v>1284005.217171886</v>
          </cell>
        </row>
        <row r="33">
          <cell r="C33" t="str">
            <v>2021-22</v>
          </cell>
          <cell r="D33">
            <v>1504762.595783917</v>
          </cell>
        </row>
        <row r="34">
          <cell r="C34" t="str">
            <v>2022-23</v>
          </cell>
          <cell r="D34">
            <v>1503085.7282264568</v>
          </cell>
        </row>
        <row r="35">
          <cell r="C35" t="str">
            <v>2023-24</v>
          </cell>
          <cell r="D35">
            <v>1583983.8087180266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I1" sqref="I1"/>
    </sheetView>
  </sheetViews>
  <sheetFormatPr defaultRowHeight="15.6" x14ac:dyDescent="0.3"/>
  <cols>
    <col min="4" max="6" width="0" hidden="1" customWidth="1"/>
    <col min="7" max="7" width="12" customWidth="1"/>
    <col min="8" max="8" width="9.3984375" bestFit="1" customWidth="1"/>
    <col min="9" max="9" width="11.296875" customWidth="1"/>
    <col min="10" max="10" width="9.398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183</v>
      </c>
      <c r="I1" t="s">
        <v>51</v>
      </c>
      <c r="J1" t="s">
        <v>52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110779</v>
      </c>
      <c r="I2" s="1">
        <v>1554717.1947836261</v>
      </c>
      <c r="J2" s="1">
        <v>242489.98181944</v>
      </c>
    </row>
    <row r="3" spans="1:10" x14ac:dyDescent="0.3">
      <c r="A3" t="s">
        <v>8</v>
      </c>
      <c r="B3" t="s">
        <v>9</v>
      </c>
      <c r="C3" t="s">
        <v>15</v>
      </c>
      <c r="D3" t="s">
        <v>11</v>
      </c>
      <c r="E3" t="s">
        <v>12</v>
      </c>
      <c r="F3" t="s">
        <v>13</v>
      </c>
      <c r="G3" t="s">
        <v>14</v>
      </c>
      <c r="H3" s="2">
        <v>106166</v>
      </c>
      <c r="I3" s="1">
        <v>1030976.7441860465</v>
      </c>
      <c r="J3" s="1">
        <v>128062.01550387597</v>
      </c>
    </row>
    <row r="4" spans="1:10" x14ac:dyDescent="0.3">
      <c r="A4" t="s">
        <v>8</v>
      </c>
      <c r="B4" t="s">
        <v>9</v>
      </c>
      <c r="C4" t="s">
        <v>16</v>
      </c>
      <c r="D4" t="s">
        <v>11</v>
      </c>
      <c r="E4" t="s">
        <v>12</v>
      </c>
      <c r="F4" t="s">
        <v>13</v>
      </c>
      <c r="G4" t="s">
        <v>14</v>
      </c>
      <c r="H4" s="1">
        <v>126941</v>
      </c>
      <c r="I4" s="1">
        <v>1440199.4064457216</v>
      </c>
      <c r="J4" s="1">
        <v>114259.19860246751</v>
      </c>
    </row>
    <row r="5" spans="1:10" x14ac:dyDescent="0.3">
      <c r="A5" t="s">
        <v>8</v>
      </c>
      <c r="B5" t="s">
        <v>9</v>
      </c>
      <c r="C5" t="s">
        <v>17</v>
      </c>
      <c r="D5" t="s">
        <v>11</v>
      </c>
      <c r="E5" t="s">
        <v>12</v>
      </c>
      <c r="F5" t="s">
        <v>13</v>
      </c>
      <c r="G5" t="s">
        <v>14</v>
      </c>
      <c r="H5" s="1">
        <v>100101</v>
      </c>
      <c r="I5" s="1">
        <v>1362753.4721629056</v>
      </c>
      <c r="J5" s="1">
        <f>_xlfn.XLOOKUP(C5,Sheet2!C$2:C$38,Sheet2!P$2:P$38,0,0,)</f>
        <v>139270.88849787315</v>
      </c>
    </row>
    <row r="6" spans="1:10" x14ac:dyDescent="0.3">
      <c r="A6" t="s">
        <v>8</v>
      </c>
      <c r="B6" t="s">
        <v>9</v>
      </c>
      <c r="C6" t="s">
        <v>18</v>
      </c>
      <c r="D6" t="s">
        <v>11</v>
      </c>
      <c r="E6" t="s">
        <v>12</v>
      </c>
      <c r="F6" t="s">
        <v>13</v>
      </c>
      <c r="G6" t="s">
        <v>14</v>
      </c>
      <c r="H6" s="1">
        <v>80643</v>
      </c>
      <c r="I6" s="1">
        <v>1816526.5989440621</v>
      </c>
      <c r="J6" s="1">
        <v>236439.46735280359</v>
      </c>
    </row>
    <row r="7" spans="1:10" x14ac:dyDescent="0.3">
      <c r="A7" t="s">
        <v>8</v>
      </c>
      <c r="B7" t="s">
        <v>9</v>
      </c>
      <c r="C7" t="s">
        <v>19</v>
      </c>
      <c r="D7" t="s">
        <v>11</v>
      </c>
      <c r="E7" t="s">
        <v>12</v>
      </c>
      <c r="F7" t="s">
        <v>13</v>
      </c>
      <c r="G7" t="s">
        <v>14</v>
      </c>
      <c r="H7" s="1">
        <v>203130</v>
      </c>
      <c r="I7" s="1">
        <f>_xlfn.XLOOKUP(C7,Sheet2!C$2:C$38,Sheet2!M$2:M$38,0,0)</f>
        <v>1058642.4659954072</v>
      </c>
      <c r="J7" s="1">
        <f>_xlfn.XLOOKUP(C7,Sheet2!C$2:C$38,Sheet2!P$2:P$38,0,0,)</f>
        <v>236657.2454807749</v>
      </c>
    </row>
    <row r="8" spans="1:10" x14ac:dyDescent="0.3">
      <c r="A8" t="s">
        <v>8</v>
      </c>
      <c r="B8" t="s">
        <v>9</v>
      </c>
      <c r="C8" t="s">
        <v>20</v>
      </c>
      <c r="D8" t="s">
        <v>11</v>
      </c>
      <c r="E8" t="s">
        <v>12</v>
      </c>
      <c r="F8" t="s">
        <v>13</v>
      </c>
      <c r="G8" t="s">
        <v>14</v>
      </c>
      <c r="H8" s="1">
        <v>231977</v>
      </c>
      <c r="I8" s="1">
        <f>_xlfn.XLOOKUP(C8,Sheet2!C$2:C$38,Sheet2!M$2:M$38,0,0)</f>
        <v>2556563.0619059852</v>
      </c>
      <c r="J8" s="1">
        <f>_xlfn.XLOOKUP(C8,Sheet2!C$2:C$38,Sheet2!P$2:P$38,0,0,)</f>
        <v>285257.09795862861</v>
      </c>
    </row>
    <row r="9" spans="1:10" x14ac:dyDescent="0.3">
      <c r="A9" t="s">
        <v>8</v>
      </c>
      <c r="B9" t="s">
        <v>9</v>
      </c>
      <c r="C9" t="s">
        <v>21</v>
      </c>
      <c r="D9" t="s">
        <v>11</v>
      </c>
      <c r="E9" t="s">
        <v>12</v>
      </c>
      <c r="F9" t="s">
        <v>13</v>
      </c>
      <c r="G9" t="s">
        <v>14</v>
      </c>
      <c r="H9" s="1">
        <v>142508</v>
      </c>
      <c r="I9" s="1">
        <f>_xlfn.XLOOKUP(C9,Sheet2!C$2:C$38,Sheet2!M$2:M$38,0,0)</f>
        <v>1764706.4679633926</v>
      </c>
      <c r="J9" s="1">
        <f>_xlfn.XLOOKUP(C9,Sheet2!C$2:C$38,Sheet2!P$2:P$38,0,0,)</f>
        <v>220391.08968430839</v>
      </c>
    </row>
    <row r="10" spans="1:10" x14ac:dyDescent="0.3">
      <c r="A10" t="s">
        <v>8</v>
      </c>
      <c r="B10" t="s">
        <v>9</v>
      </c>
      <c r="C10" t="s">
        <v>22</v>
      </c>
      <c r="D10" t="s">
        <v>11</v>
      </c>
      <c r="E10" t="s">
        <v>12</v>
      </c>
      <c r="F10" t="s">
        <v>13</v>
      </c>
      <c r="G10" t="s">
        <v>14</v>
      </c>
      <c r="H10" s="1">
        <v>188315</v>
      </c>
      <c r="I10" s="1">
        <f>_xlfn.XLOOKUP(C10,Sheet2!C$2:C$38,Sheet2!M$2:M$38,0,0)</f>
        <v>1616431.1648153898</v>
      </c>
      <c r="J10" s="1">
        <f>_xlfn.XLOOKUP(C10,Sheet2!C$2:C$38,Sheet2!P$2:P$38,0,0,)</f>
        <v>201272.34363416318</v>
      </c>
    </row>
    <row r="11" spans="1:10" x14ac:dyDescent="0.3">
      <c r="A11" t="s">
        <v>8</v>
      </c>
      <c r="B11" t="s">
        <v>9</v>
      </c>
      <c r="C11" t="s">
        <v>23</v>
      </c>
      <c r="D11" t="s">
        <v>11</v>
      </c>
      <c r="E11" t="s">
        <v>12</v>
      </c>
      <c r="F11" t="s">
        <v>13</v>
      </c>
      <c r="G11" t="s">
        <v>14</v>
      </c>
      <c r="H11" s="1">
        <v>106396</v>
      </c>
      <c r="I11" s="1">
        <f>_xlfn.XLOOKUP(C11,Sheet2!C$2:C$38,Sheet2!M$2:M$38,0,0)</f>
        <v>2289494.3660912188</v>
      </c>
      <c r="J11" s="1">
        <f>_xlfn.XLOOKUP(C11,Sheet2!C$2:C$38,Sheet2!P$2:P$38,0,0,)</f>
        <v>228353.00041089626</v>
      </c>
    </row>
    <row r="12" spans="1:10" x14ac:dyDescent="0.3">
      <c r="A12" t="s">
        <v>8</v>
      </c>
      <c r="B12" t="s">
        <v>9</v>
      </c>
      <c r="C12" t="s">
        <v>24</v>
      </c>
      <c r="D12" t="s">
        <v>11</v>
      </c>
      <c r="E12" t="s">
        <v>12</v>
      </c>
      <c r="F12" t="s">
        <v>13</v>
      </c>
      <c r="G12" t="s">
        <v>14</v>
      </c>
      <c r="H12" s="1">
        <v>92497</v>
      </c>
      <c r="I12" s="1">
        <f>_xlfn.XLOOKUP(C12,Sheet2!C$2:C$38,Sheet2!M$2:M$38,0,0)</f>
        <v>2865451.251629658</v>
      </c>
      <c r="J12" s="1">
        <f>_xlfn.XLOOKUP(C12,Sheet2!C$2:C$38,Sheet2!P$2:P$38,0,0,)</f>
        <v>320289.43772219634</v>
      </c>
    </row>
    <row r="13" spans="1:10" x14ac:dyDescent="0.3">
      <c r="A13" t="s">
        <v>8</v>
      </c>
      <c r="B13" t="s">
        <v>9</v>
      </c>
      <c r="C13" t="s">
        <v>25</v>
      </c>
      <c r="D13" t="s">
        <v>11</v>
      </c>
      <c r="E13" t="s">
        <v>12</v>
      </c>
      <c r="F13" t="s">
        <v>13</v>
      </c>
      <c r="G13" t="s">
        <v>14</v>
      </c>
      <c r="H13" s="1">
        <v>117436</v>
      </c>
      <c r="I13" s="1">
        <f>_xlfn.XLOOKUP(C13,Sheet2!C$2:C$38,Sheet2!M$2:M$38,0,0)</f>
        <v>1896406.8315096572</v>
      </c>
      <c r="J13" s="1">
        <f>_xlfn.XLOOKUP(C13,Sheet2!C$2:C$38,Sheet2!P$2:P$38,0,0,)</f>
        <v>258144.72165974145</v>
      </c>
    </row>
    <row r="14" spans="1:10" x14ac:dyDescent="0.3">
      <c r="A14" t="s">
        <v>8</v>
      </c>
      <c r="B14" t="s">
        <v>9</v>
      </c>
      <c r="C14" t="s">
        <v>26</v>
      </c>
      <c r="D14" t="s">
        <v>11</v>
      </c>
      <c r="E14" t="s">
        <v>12</v>
      </c>
      <c r="F14" t="s">
        <v>13</v>
      </c>
      <c r="G14" t="s">
        <v>14</v>
      </c>
      <c r="H14" s="1">
        <v>187042</v>
      </c>
      <c r="I14" s="1">
        <f>_xlfn.XLOOKUP(C14,Sheet2!C$2:C$38,Sheet2!M$2:M$38,0,0)</f>
        <v>1403485.5985837106</v>
      </c>
      <c r="J14" s="1">
        <f>_xlfn.XLOOKUP(C14,Sheet2!C$2:C$38,Sheet2!P$2:P$38,0,0,)</f>
        <v>246271.46254500994</v>
      </c>
    </row>
    <row r="15" spans="1:10" x14ac:dyDescent="0.3">
      <c r="A15" t="s">
        <v>8</v>
      </c>
      <c r="B15" t="s">
        <v>9</v>
      </c>
      <c r="C15" t="s">
        <v>27</v>
      </c>
      <c r="D15" t="s">
        <v>11</v>
      </c>
      <c r="E15" t="s">
        <v>12</v>
      </c>
      <c r="F15" t="s">
        <v>13</v>
      </c>
      <c r="G15" t="s">
        <v>14</v>
      </c>
      <c r="H15" s="1">
        <v>65394</v>
      </c>
      <c r="I15" s="1">
        <f>_xlfn.XLOOKUP(C15,Sheet2!C$2:C$38,Sheet2!M$2:M$38,0,0)</f>
        <v>2148934.4390142458</v>
      </c>
      <c r="J15" s="1">
        <f>_xlfn.XLOOKUP(C15,Sheet2!C$2:C$38,Sheet2!P$2:P$38,0,0,)</f>
        <v>201906.25974836227</v>
      </c>
    </row>
    <row r="16" spans="1:10" x14ac:dyDescent="0.3">
      <c r="A16" t="s">
        <v>8</v>
      </c>
      <c r="B16" t="s">
        <v>9</v>
      </c>
      <c r="C16" t="s">
        <v>28</v>
      </c>
      <c r="D16" t="s">
        <v>11</v>
      </c>
      <c r="E16" t="s">
        <v>12</v>
      </c>
      <c r="F16" t="s">
        <v>13</v>
      </c>
      <c r="G16" t="s">
        <v>14</v>
      </c>
      <c r="H16" s="1">
        <v>136858</v>
      </c>
      <c r="I16" s="1">
        <f>_xlfn.XLOOKUP(C16,Sheet2!C$2:C$38,Sheet2!M$2:M$38,0,0)</f>
        <v>2119865.8328435966</v>
      </c>
      <c r="J16" s="1">
        <f>_xlfn.XLOOKUP(C16,Sheet2!C$2:C$38,Sheet2!P$2:P$38,0,0,)</f>
        <v>266307.31610000471</v>
      </c>
    </row>
    <row r="17" spans="1:10" x14ac:dyDescent="0.3">
      <c r="A17" t="s">
        <v>8</v>
      </c>
      <c r="B17" t="s">
        <v>9</v>
      </c>
      <c r="C17" t="s">
        <v>29</v>
      </c>
      <c r="D17" t="s">
        <v>11</v>
      </c>
      <c r="E17" t="s">
        <v>12</v>
      </c>
      <c r="F17" t="s">
        <v>13</v>
      </c>
      <c r="G17" t="s">
        <v>14</v>
      </c>
      <c r="H17" s="1">
        <v>97468</v>
      </c>
      <c r="I17" s="1">
        <f>_xlfn.XLOOKUP(C17,Sheet2!C$2:C$38,Sheet2!M$2:M$38,0,0)</f>
        <v>262313.34439440625</v>
      </c>
      <c r="J17" s="1">
        <f>_xlfn.XLOOKUP(C17,Sheet2!C$2:C$38,Sheet2!P$2:P$38,0,0,)</f>
        <v>87888.12514813937</v>
      </c>
    </row>
    <row r="18" spans="1:10" x14ac:dyDescent="0.3">
      <c r="A18" t="s">
        <v>8</v>
      </c>
      <c r="B18" t="s">
        <v>9</v>
      </c>
      <c r="C18" t="s">
        <v>30</v>
      </c>
      <c r="D18" t="s">
        <v>11</v>
      </c>
      <c r="E18" t="s">
        <v>12</v>
      </c>
      <c r="F18" t="s">
        <v>13</v>
      </c>
      <c r="G18" t="s">
        <v>14</v>
      </c>
      <c r="H18" s="1">
        <v>86315</v>
      </c>
      <c r="I18" s="1">
        <f>_xlfn.XLOOKUP(C18,Sheet2!C$2:C$38,Sheet2!M$2:M$38,0,0)</f>
        <v>1980125.4446732821</v>
      </c>
      <c r="J18" s="1">
        <f>_xlfn.XLOOKUP(C18,Sheet2!C$2:C$38,Sheet2!P$2:P$38,0,0,)</f>
        <v>192463.95806028834</v>
      </c>
    </row>
    <row r="19" spans="1:10" x14ac:dyDescent="0.3">
      <c r="A19" t="s">
        <v>8</v>
      </c>
      <c r="B19" t="s">
        <v>9</v>
      </c>
      <c r="C19" t="s">
        <v>31</v>
      </c>
      <c r="D19" t="s">
        <v>11</v>
      </c>
      <c r="E19" t="s">
        <v>12</v>
      </c>
      <c r="F19" t="s">
        <v>13</v>
      </c>
      <c r="G19" t="s">
        <v>14</v>
      </c>
      <c r="H19" s="1">
        <v>199084</v>
      </c>
      <c r="I19" s="1">
        <f>_xlfn.XLOOKUP(C19,Sheet2!C$2:C$38,Sheet2!M$2:M$38,0,0)</f>
        <v>223091.6030534351</v>
      </c>
      <c r="J19" s="1">
        <f>_xlfn.XLOOKUP(C19,Sheet2!C$2:C$38,Sheet2!P$2:P$38,0,0,)</f>
        <v>91507.633587786258</v>
      </c>
    </row>
    <row r="20" spans="1:10" x14ac:dyDescent="0.3">
      <c r="A20" t="s">
        <v>8</v>
      </c>
      <c r="B20" t="s">
        <v>9</v>
      </c>
      <c r="C20" t="s">
        <v>32</v>
      </c>
      <c r="D20" t="s">
        <v>11</v>
      </c>
      <c r="E20" t="s">
        <v>12</v>
      </c>
      <c r="F20" t="s">
        <v>13</v>
      </c>
      <c r="G20" t="s">
        <v>14</v>
      </c>
      <c r="H20" s="1">
        <v>140594</v>
      </c>
      <c r="I20" s="1">
        <f>_xlfn.XLOOKUP(C20,Sheet2!C$2:C$38,Sheet2!M$2:M$38,0,0)</f>
        <v>208894.13616686343</v>
      </c>
      <c r="J20" s="1">
        <f>_xlfn.XLOOKUP(C20,Sheet2!C$2:C$38,Sheet2!P$2:P$38,0,0,)</f>
        <v>61097.992916174735</v>
      </c>
    </row>
    <row r="21" spans="1:10" x14ac:dyDescent="0.3">
      <c r="A21" t="s">
        <v>8</v>
      </c>
      <c r="B21" t="s">
        <v>9</v>
      </c>
      <c r="C21" t="s">
        <v>33</v>
      </c>
      <c r="D21" t="s">
        <v>11</v>
      </c>
      <c r="E21" t="s">
        <v>12</v>
      </c>
      <c r="F21" t="s">
        <v>13</v>
      </c>
      <c r="G21" t="s">
        <v>14</v>
      </c>
      <c r="H21" s="1">
        <v>55031</v>
      </c>
      <c r="I21" s="1">
        <f>_xlfn.XLOOKUP(C21,Sheet2!C$2:C$38,Sheet2!M$2:M$38,0,0)</f>
        <v>2505006.8451717659</v>
      </c>
      <c r="J21" s="1">
        <f>_xlfn.XLOOKUP(C21,Sheet2!C$2:C$38,Sheet2!P$2:P$38,0,0,)</f>
        <v>274325.19341589988</v>
      </c>
    </row>
    <row r="22" spans="1:10" x14ac:dyDescent="0.3">
      <c r="A22" t="s">
        <v>8</v>
      </c>
      <c r="B22" t="s">
        <v>9</v>
      </c>
      <c r="C22" t="s">
        <v>34</v>
      </c>
      <c r="D22" t="s">
        <v>11</v>
      </c>
      <c r="E22" t="s">
        <v>12</v>
      </c>
      <c r="F22" t="s">
        <v>13</v>
      </c>
      <c r="G22" t="s">
        <v>14</v>
      </c>
      <c r="H22" s="1">
        <v>161775</v>
      </c>
      <c r="I22" s="1">
        <f>_xlfn.XLOOKUP(C22,Sheet2!C$2:C$38,Sheet2!M$2:M$38,0,0)</f>
        <v>962006.31395428523</v>
      </c>
      <c r="J22" s="1">
        <f>_xlfn.XLOOKUP(C22,Sheet2!C$2:C$38,Sheet2!P$2:P$38,0,0,)</f>
        <v>173381.15279864988</v>
      </c>
    </row>
    <row r="23" spans="1:10" x14ac:dyDescent="0.3">
      <c r="A23" t="s">
        <v>8</v>
      </c>
      <c r="B23" t="s">
        <v>9</v>
      </c>
      <c r="C23" t="s">
        <v>35</v>
      </c>
      <c r="D23" t="s">
        <v>11</v>
      </c>
      <c r="E23" t="s">
        <v>12</v>
      </c>
      <c r="F23" t="s">
        <v>13</v>
      </c>
      <c r="G23" t="s">
        <v>14</v>
      </c>
      <c r="H23" s="1">
        <v>138958</v>
      </c>
      <c r="I23" s="1">
        <f>_xlfn.XLOOKUP(C23,Sheet2!C$2:C$38,Sheet2!M$2:M$38,0,0)</f>
        <v>1709346.1280590009</v>
      </c>
      <c r="J23" s="1">
        <f>_xlfn.XLOOKUP(C23,Sheet2!C$2:C$38,Sheet2!P$2:P$38,0,0,)</f>
        <v>219218.90714046263</v>
      </c>
    </row>
    <row r="24" spans="1:10" x14ac:dyDescent="0.3">
      <c r="A24" t="s">
        <v>8</v>
      </c>
      <c r="B24" t="s">
        <v>9</v>
      </c>
      <c r="C24" t="s">
        <v>36</v>
      </c>
      <c r="D24" t="s">
        <v>11</v>
      </c>
      <c r="E24" t="s">
        <v>12</v>
      </c>
      <c r="F24" t="s">
        <v>13</v>
      </c>
      <c r="G24" t="s">
        <v>14</v>
      </c>
      <c r="H24" s="1">
        <v>240913</v>
      </c>
      <c r="I24" s="1">
        <f>_xlfn.XLOOKUP(C24,Sheet2!C$2:C$38,Sheet2!M$2:M$38,0,0)</f>
        <v>7541570.2280912362</v>
      </c>
      <c r="J24" s="1">
        <f>_xlfn.XLOOKUP(C24,Sheet2!C$2:C$38,Sheet2!P$2:P$38,0,0,)</f>
        <v>296360.14405762305</v>
      </c>
    </row>
    <row r="25" spans="1:10" x14ac:dyDescent="0.3">
      <c r="A25" t="s">
        <v>8</v>
      </c>
      <c r="B25" t="s">
        <v>9</v>
      </c>
      <c r="C25" t="s">
        <v>37</v>
      </c>
      <c r="D25" t="s">
        <v>11</v>
      </c>
      <c r="E25" t="s">
        <v>12</v>
      </c>
      <c r="F25" t="s">
        <v>13</v>
      </c>
      <c r="G25" t="s">
        <v>14</v>
      </c>
      <c r="H25" s="1">
        <v>132755</v>
      </c>
      <c r="I25" s="1">
        <f>_xlfn.XLOOKUP(C25,Sheet2!C$2:C$38,Sheet2!M$2:M$38,0,0)</f>
        <v>1018611.6513678088</v>
      </c>
      <c r="J25" s="1">
        <f>_xlfn.XLOOKUP(C25,Sheet2!C$2:C$38,Sheet2!P$2:P$38,0,0,)</f>
        <v>198089.69271006898</v>
      </c>
    </row>
    <row r="26" spans="1:10" x14ac:dyDescent="0.3">
      <c r="A26" t="s">
        <v>8</v>
      </c>
      <c r="B26" t="s">
        <v>9</v>
      </c>
      <c r="C26" t="s">
        <v>38</v>
      </c>
      <c r="D26" t="s">
        <v>11</v>
      </c>
      <c r="E26" t="s">
        <v>12</v>
      </c>
      <c r="F26" t="s">
        <v>13</v>
      </c>
      <c r="G26" t="s">
        <v>14</v>
      </c>
      <c r="H26" s="1">
        <v>119466</v>
      </c>
      <c r="I26" s="1">
        <f>_xlfn.XLOOKUP(C26,Sheet2!C$2:C$38,Sheet2!M$2:M$38,0,0)</f>
        <v>1061000.14364302</v>
      </c>
      <c r="J26" s="1">
        <f>_xlfn.XLOOKUP(C26,Sheet2!C$2:C$38,Sheet2!P$2:P$38,0,0,)</f>
        <v>188067.01788032078</v>
      </c>
    </row>
    <row r="27" spans="1:10" x14ac:dyDescent="0.3">
      <c r="A27" t="s">
        <v>8</v>
      </c>
      <c r="B27" t="s">
        <v>9</v>
      </c>
      <c r="C27" t="s">
        <v>39</v>
      </c>
      <c r="D27" t="s">
        <v>11</v>
      </c>
      <c r="E27" t="s">
        <v>12</v>
      </c>
      <c r="F27" t="s">
        <v>13</v>
      </c>
      <c r="G27" t="s">
        <v>14</v>
      </c>
      <c r="H27" s="1">
        <v>120469</v>
      </c>
      <c r="I27" s="1">
        <f>_xlfn.XLOOKUP(C27,Sheet2!C$2:C$38,Sheet2!M$2:M$38,0,0)</f>
        <v>217678.75345856996</v>
      </c>
      <c r="J27" s="1">
        <f>_xlfn.XLOOKUP(C27,Sheet2!C$2:C$38,Sheet2!P$2:P$38,0,0,)</f>
        <v>62399.883500800934</v>
      </c>
    </row>
    <row r="28" spans="1:10" x14ac:dyDescent="0.3">
      <c r="A28" t="s">
        <v>8</v>
      </c>
      <c r="B28" t="s">
        <v>9</v>
      </c>
      <c r="C28" t="s">
        <v>40</v>
      </c>
      <c r="D28" t="s">
        <v>11</v>
      </c>
      <c r="E28" t="s">
        <v>12</v>
      </c>
      <c r="F28" t="s">
        <v>13</v>
      </c>
      <c r="G28" t="s">
        <v>14</v>
      </c>
      <c r="H28" s="1">
        <v>88516</v>
      </c>
      <c r="I28" s="1">
        <f>_xlfn.XLOOKUP(C28,Sheet2!C$2:C$38,Sheet2!M$2:M$38,0,0)</f>
        <v>1305138.1211155877</v>
      </c>
      <c r="J28" s="1">
        <f>_xlfn.XLOOKUP(C28,Sheet2!C$2:C$38,Sheet2!P$2:P$38,0,0,)</f>
        <v>176422.74899278552</v>
      </c>
    </row>
    <row r="29" spans="1:10" x14ac:dyDescent="0.3">
      <c r="A29" t="s">
        <v>8</v>
      </c>
      <c r="B29" t="s">
        <v>9</v>
      </c>
      <c r="C29" t="s">
        <v>41</v>
      </c>
      <c r="D29" t="s">
        <v>11</v>
      </c>
      <c r="E29" t="s">
        <v>12</v>
      </c>
      <c r="F29" t="s">
        <v>13</v>
      </c>
      <c r="G29" t="s">
        <v>14</v>
      </c>
      <c r="H29" s="1">
        <v>148418</v>
      </c>
      <c r="I29" s="1">
        <f>_xlfn.XLOOKUP(C29,Sheet2!C$2:C$38,Sheet2!M$2:M$38,0,0)</f>
        <v>1753521.4511785565</v>
      </c>
      <c r="J29" s="1">
        <f>_xlfn.XLOOKUP(C29,Sheet2!C$2:C$38,Sheet2!P$2:P$38,0,0,)</f>
        <v>196350.44176318537</v>
      </c>
    </row>
    <row r="30" spans="1:10" x14ac:dyDescent="0.3">
      <c r="A30" t="s">
        <v>8</v>
      </c>
      <c r="B30" t="s">
        <v>9</v>
      </c>
      <c r="C30" t="s">
        <v>42</v>
      </c>
      <c r="D30" t="s">
        <v>11</v>
      </c>
      <c r="E30" t="s">
        <v>12</v>
      </c>
      <c r="F30" t="s">
        <v>13</v>
      </c>
      <c r="G30" t="s">
        <v>14</v>
      </c>
      <c r="H30" s="1">
        <v>68315</v>
      </c>
      <c r="I30" s="1">
        <f>_xlfn.XLOOKUP(C30,Sheet2!C$2:C$38,Sheet2!M$2:M$38,0,0)</f>
        <v>1300266.2851172739</v>
      </c>
      <c r="J30" s="1">
        <f>_xlfn.XLOOKUP(C30,Sheet2!C$2:C$38,Sheet2!P$2:P$38,0,0,)</f>
        <v>208138.2054255798</v>
      </c>
    </row>
    <row r="31" spans="1:10" x14ac:dyDescent="0.3">
      <c r="A31" t="s">
        <v>8</v>
      </c>
      <c r="B31" t="s">
        <v>9</v>
      </c>
      <c r="C31" t="s">
        <v>43</v>
      </c>
      <c r="D31" t="s">
        <v>11</v>
      </c>
      <c r="E31" t="s">
        <v>12</v>
      </c>
      <c r="F31" t="s">
        <v>13</v>
      </c>
      <c r="G31" t="s">
        <v>14</v>
      </c>
      <c r="H31" s="1">
        <v>138690</v>
      </c>
      <c r="I31" s="1">
        <f>_xlfn.XLOOKUP(C31,Sheet2!C$2:C$38,Sheet2!M$2:M$38,0,0)</f>
        <v>490579.71014492755</v>
      </c>
      <c r="J31" s="1">
        <f>_xlfn.XLOOKUP(C31,Sheet2!C$2:C$38,Sheet2!P$2:P$38,0,0,)</f>
        <v>212318.84057971014</v>
      </c>
    </row>
    <row r="32" spans="1:10" x14ac:dyDescent="0.3">
      <c r="A32" t="s">
        <v>8</v>
      </c>
      <c r="B32" t="s">
        <v>9</v>
      </c>
      <c r="C32" t="s">
        <v>44</v>
      </c>
      <c r="D32" t="s">
        <v>11</v>
      </c>
      <c r="E32" t="s">
        <v>12</v>
      </c>
      <c r="F32" t="s">
        <v>13</v>
      </c>
      <c r="G32" t="s">
        <v>14</v>
      </c>
      <c r="H32" s="1">
        <v>150666</v>
      </c>
      <c r="I32" s="1">
        <f>_xlfn.XLOOKUP(C32,Sheet2!C$2:C$38,Sheet2!M$2:M$38,0,0)</f>
        <v>1524084.5327017673</v>
      </c>
      <c r="J32" s="1">
        <f>_xlfn.XLOOKUP(C32,Sheet2!C$2:C$38,Sheet2!P$2:P$38,0,0,)</f>
        <v>264091.82000364363</v>
      </c>
    </row>
    <row r="33" spans="1:10" x14ac:dyDescent="0.3">
      <c r="A33" t="s">
        <v>8</v>
      </c>
      <c r="B33" t="s">
        <v>9</v>
      </c>
      <c r="C33" t="s">
        <v>45</v>
      </c>
      <c r="D33" t="s">
        <v>11</v>
      </c>
      <c r="E33" t="s">
        <v>12</v>
      </c>
      <c r="F33" t="s">
        <v>13</v>
      </c>
      <c r="G33" t="s">
        <v>14</v>
      </c>
      <c r="H33" s="1">
        <v>157357</v>
      </c>
      <c r="I33" s="1">
        <v>1483877.7268281302</v>
      </c>
      <c r="J33" s="1">
        <v>193742.76510018934</v>
      </c>
    </row>
    <row r="34" spans="1:10" x14ac:dyDescent="0.3">
      <c r="A34" t="s">
        <v>8</v>
      </c>
      <c r="B34" t="s">
        <v>9</v>
      </c>
      <c r="C34" t="s">
        <v>46</v>
      </c>
      <c r="D34" t="s">
        <v>11</v>
      </c>
      <c r="E34" t="s">
        <v>12</v>
      </c>
      <c r="F34" t="s">
        <v>13</v>
      </c>
      <c r="G34" t="s">
        <v>14</v>
      </c>
      <c r="H34" s="1">
        <v>93253</v>
      </c>
      <c r="I34" s="1">
        <f>_xlfn.XLOOKUP(C34,Sheet2!C$2:C$38,Sheet2!M$2:M$38,0,0)</f>
        <v>1602220.8929880755</v>
      </c>
      <c r="J34" s="1">
        <f>_xlfn.XLOOKUP(C34,Sheet2!C$2:C$38,Sheet2!P$2:P$38,0,0,)</f>
        <v>164336.43345039169</v>
      </c>
    </row>
    <row r="35" spans="1:10" x14ac:dyDescent="0.3">
      <c r="A35" t="s">
        <v>8</v>
      </c>
      <c r="B35" t="s">
        <v>9</v>
      </c>
      <c r="C35" t="s">
        <v>47</v>
      </c>
      <c r="D35" t="s">
        <v>11</v>
      </c>
      <c r="E35" t="s">
        <v>12</v>
      </c>
      <c r="F35" t="s">
        <v>13</v>
      </c>
      <c r="G35" t="s">
        <v>14</v>
      </c>
      <c r="H35" s="1">
        <v>149514</v>
      </c>
      <c r="I35" s="1">
        <f>_xlfn.XLOOKUP(C35,Sheet2!C$2:C$38,Sheet2!M$2:M$38,0,0)</f>
        <v>326008.96860986546</v>
      </c>
      <c r="J35" s="1">
        <f>_xlfn.XLOOKUP(C35,Sheet2!C$2:C$38,Sheet2!P$2:P$38,0,0,)</f>
        <v>180717.48878923766</v>
      </c>
    </row>
    <row r="36" spans="1:10" x14ac:dyDescent="0.3">
      <c r="A36" t="s">
        <v>8</v>
      </c>
      <c r="B36" t="s">
        <v>9</v>
      </c>
      <c r="C36" t="s">
        <v>48</v>
      </c>
      <c r="D36" t="s">
        <v>11</v>
      </c>
      <c r="E36" t="s">
        <v>12</v>
      </c>
      <c r="F36" t="s">
        <v>13</v>
      </c>
      <c r="G36" t="s">
        <v>14</v>
      </c>
      <c r="H36" s="1">
        <v>63238</v>
      </c>
      <c r="I36" s="1">
        <f>_xlfn.XLOOKUP(C36,Sheet2!C$2:C$38,Sheet2!M$2:M$38,0,0)</f>
        <v>312500</v>
      </c>
      <c r="J36" s="1">
        <f>_xlfn.XLOOKUP(C36,Sheet2!C$2:C$38,Sheet2!P$2:P$38,0,0,)</f>
        <v>100000</v>
      </c>
    </row>
    <row r="37" spans="1:10" x14ac:dyDescent="0.3">
      <c r="A37" t="s">
        <v>8</v>
      </c>
      <c r="B37" t="s">
        <v>9</v>
      </c>
      <c r="C37" t="s">
        <v>49</v>
      </c>
      <c r="D37" t="s">
        <v>11</v>
      </c>
      <c r="E37" t="s">
        <v>12</v>
      </c>
      <c r="F37" t="s">
        <v>13</v>
      </c>
      <c r="G37" t="s">
        <v>14</v>
      </c>
      <c r="H37" s="1">
        <v>155941</v>
      </c>
      <c r="I37" s="1">
        <v>1868148.6742424243</v>
      </c>
      <c r="J37" s="1">
        <v>243688.44696969696</v>
      </c>
    </row>
    <row r="38" spans="1:10" x14ac:dyDescent="0.3">
      <c r="A38" t="s">
        <v>8</v>
      </c>
      <c r="B38" t="s">
        <v>9</v>
      </c>
      <c r="C38" t="s">
        <v>50</v>
      </c>
      <c r="D38" t="s">
        <v>11</v>
      </c>
      <c r="E38" t="s">
        <v>12</v>
      </c>
      <c r="F38" t="s">
        <v>13</v>
      </c>
      <c r="G38" t="s">
        <v>14</v>
      </c>
      <c r="H38" s="1">
        <v>112869</v>
      </c>
      <c r="I38" s="1">
        <v>1583983.8087180266</v>
      </c>
      <c r="J38" s="1">
        <v>216486.76603936468</v>
      </c>
    </row>
  </sheetData>
  <pageMargins left="0.7" right="0.7" top="0.75" bottom="0.75" header="0.3" footer="0.3"/>
  <ignoredErrors>
    <ignoredError sqref="A1:G1 A38:G38 A2:G2 A3:G3 A4:G4 A5:G5 A6:G6 A7:G7 A8:G8 A9:G9 A10:G10 A11:G11 A12:G12 A13:G13 A14:G14 A15:G15 A16:G16 A17:G17 A18:G18 A19:G19 A20:G20 A21:G21 A22:G22 A23:G23 A24:G24 A25:G25 A26:G26 A27:G27 A28:G28 A29:G29 A30:G30 A31:G31 A32:G32 A33:G33 A34:G34 A35:G35 A36:G36 A37:G37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7802-A416-4A05-A1BE-F4F5C0CCF445}">
  <dimension ref="A1:P38"/>
  <sheetViews>
    <sheetView topLeftCell="D1" workbookViewId="0">
      <selection activeCell="M29" sqref="M29"/>
    </sheetView>
  </sheetViews>
  <sheetFormatPr defaultRowHeight="15.6" x14ac:dyDescent="0.3"/>
  <cols>
    <col min="11" max="11" width="11.8984375" bestFit="1" customWidth="1"/>
    <col min="13" max="13" width="9.8984375" bestFit="1" customWidth="1"/>
    <col min="15" max="15" width="21.59765625" customWidth="1"/>
  </cols>
  <sheetData>
    <row r="1" spans="1:16" x14ac:dyDescent="0.3">
      <c r="A1" t="s">
        <v>53</v>
      </c>
      <c r="B1" t="s">
        <v>1</v>
      </c>
      <c r="C1" t="s">
        <v>54</v>
      </c>
      <c r="D1" t="s">
        <v>3</v>
      </c>
      <c r="E1" t="s">
        <v>4</v>
      </c>
      <c r="F1" t="s">
        <v>55</v>
      </c>
      <c r="G1" t="s">
        <v>56</v>
      </c>
      <c r="H1" t="s">
        <v>57</v>
      </c>
      <c r="I1" t="s">
        <v>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</row>
    <row r="2" spans="1:16" x14ac:dyDescent="0.3">
      <c r="A2">
        <v>2008</v>
      </c>
      <c r="B2" t="s">
        <v>9</v>
      </c>
      <c r="C2" t="s">
        <v>50</v>
      </c>
      <c r="D2" t="s">
        <v>11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>
        <f>I2*100000</f>
        <v>24583360600000</v>
      </c>
      <c r="L2" t="s">
        <v>71</v>
      </c>
      <c r="M2">
        <f>K2/L2</f>
        <v>1583983.8087180266</v>
      </c>
      <c r="N2" t="s">
        <v>72</v>
      </c>
      <c r="O2">
        <f>N2*100000</f>
        <v>3359865300000</v>
      </c>
      <c r="P2">
        <f>O2/L2</f>
        <v>216486.76603936468</v>
      </c>
    </row>
    <row r="3" spans="1:16" x14ac:dyDescent="0.3">
      <c r="A3">
        <v>2008</v>
      </c>
      <c r="B3" t="s">
        <v>9</v>
      </c>
      <c r="C3" t="s">
        <v>43</v>
      </c>
      <c r="D3" t="s">
        <v>11</v>
      </c>
      <c r="E3" t="s">
        <v>65</v>
      </c>
      <c r="F3" t="s">
        <v>66</v>
      </c>
      <c r="G3" t="s">
        <v>67</v>
      </c>
      <c r="H3" t="s">
        <v>68</v>
      </c>
      <c r="I3" t="s">
        <v>73</v>
      </c>
      <c r="J3" t="s">
        <v>70</v>
      </c>
      <c r="K3">
        <f t="shared" ref="K3:K38" si="0">I3*100000</f>
        <v>67700000</v>
      </c>
      <c r="L3" t="s">
        <v>74</v>
      </c>
      <c r="M3">
        <f t="shared" ref="M3:M38" si="1">K3/L3</f>
        <v>490579.71014492755</v>
      </c>
      <c r="N3" t="s">
        <v>75</v>
      </c>
      <c r="O3">
        <f t="shared" ref="O3:O38" si="2">N3*100000</f>
        <v>29300000</v>
      </c>
      <c r="P3">
        <f t="shared" ref="P3:P38" si="3">O3/L3</f>
        <v>212318.84057971014</v>
      </c>
    </row>
    <row r="4" spans="1:16" x14ac:dyDescent="0.3">
      <c r="A4">
        <v>2008</v>
      </c>
      <c r="B4" t="s">
        <v>9</v>
      </c>
      <c r="C4" t="s">
        <v>10</v>
      </c>
      <c r="D4" t="s">
        <v>11</v>
      </c>
      <c r="E4" t="s">
        <v>65</v>
      </c>
      <c r="F4" t="s">
        <v>66</v>
      </c>
      <c r="G4" t="s">
        <v>67</v>
      </c>
      <c r="H4" t="s">
        <v>68</v>
      </c>
      <c r="I4" t="s">
        <v>76</v>
      </c>
      <c r="J4" t="s">
        <v>70</v>
      </c>
      <c r="K4">
        <f t="shared" si="0"/>
        <v>988557600000</v>
      </c>
      <c r="L4" t="s">
        <v>77</v>
      </c>
      <c r="M4">
        <f t="shared" si="1"/>
        <v>1554717.1947836261</v>
      </c>
      <c r="N4" t="s">
        <v>78</v>
      </c>
      <c r="O4">
        <f t="shared" si="2"/>
        <v>154185800000</v>
      </c>
      <c r="P4">
        <f t="shared" si="3"/>
        <v>242489.98181944</v>
      </c>
    </row>
    <row r="5" spans="1:16" x14ac:dyDescent="0.3">
      <c r="A5">
        <v>2008</v>
      </c>
      <c r="B5" t="s">
        <v>9</v>
      </c>
      <c r="C5" t="s">
        <v>15</v>
      </c>
      <c r="D5" t="s">
        <v>11</v>
      </c>
      <c r="E5" t="s">
        <v>65</v>
      </c>
      <c r="F5" t="s">
        <v>66</v>
      </c>
      <c r="G5" t="s">
        <v>67</v>
      </c>
      <c r="H5" t="s">
        <v>68</v>
      </c>
      <c r="I5" t="s">
        <v>79</v>
      </c>
      <c r="J5" t="s">
        <v>70</v>
      </c>
      <c r="K5">
        <f t="shared" si="0"/>
        <v>3324900000</v>
      </c>
      <c r="L5" t="s">
        <v>80</v>
      </c>
      <c r="M5">
        <f t="shared" si="1"/>
        <v>1030976.7441860465</v>
      </c>
      <c r="N5" t="s">
        <v>81</v>
      </c>
      <c r="O5">
        <f t="shared" si="2"/>
        <v>413000000</v>
      </c>
      <c r="P5">
        <f t="shared" si="3"/>
        <v>128062.01550387597</v>
      </c>
    </row>
    <row r="6" spans="1:16" x14ac:dyDescent="0.3">
      <c r="A6">
        <v>2008</v>
      </c>
      <c r="B6" t="s">
        <v>9</v>
      </c>
      <c r="C6" t="s">
        <v>16</v>
      </c>
      <c r="D6" t="s">
        <v>11</v>
      </c>
      <c r="E6" t="s">
        <v>65</v>
      </c>
      <c r="F6" t="s">
        <v>66</v>
      </c>
      <c r="G6" t="s">
        <v>67</v>
      </c>
      <c r="H6" t="s">
        <v>68</v>
      </c>
      <c r="I6" t="s">
        <v>82</v>
      </c>
      <c r="J6" t="s">
        <v>70</v>
      </c>
      <c r="K6">
        <f t="shared" si="0"/>
        <v>290197300000</v>
      </c>
      <c r="L6" t="s">
        <v>83</v>
      </c>
      <c r="M6">
        <f t="shared" si="1"/>
        <v>1440199.4064457216</v>
      </c>
      <c r="N6" t="s">
        <v>84</v>
      </c>
      <c r="O6">
        <f t="shared" si="2"/>
        <v>23023000000</v>
      </c>
      <c r="P6">
        <f t="shared" si="3"/>
        <v>114259.19860246751</v>
      </c>
    </row>
    <row r="7" spans="1:16" x14ac:dyDescent="0.3">
      <c r="A7">
        <v>2008</v>
      </c>
      <c r="B7" t="s">
        <v>9</v>
      </c>
      <c r="C7" t="s">
        <v>17</v>
      </c>
      <c r="D7" t="s">
        <v>11</v>
      </c>
      <c r="E7" t="s">
        <v>65</v>
      </c>
      <c r="F7" t="s">
        <v>66</v>
      </c>
      <c r="G7" t="s">
        <v>67</v>
      </c>
      <c r="H7" t="s">
        <v>68</v>
      </c>
      <c r="I7" t="s">
        <v>85</v>
      </c>
      <c r="J7" t="s">
        <v>70</v>
      </c>
      <c r="K7">
        <f t="shared" si="0"/>
        <v>159543000000</v>
      </c>
      <c r="L7" t="s">
        <v>86</v>
      </c>
      <c r="M7">
        <f t="shared" si="1"/>
        <v>1362753.4721629056</v>
      </c>
      <c r="N7" t="s">
        <v>87</v>
      </c>
      <c r="O7">
        <f t="shared" si="2"/>
        <v>16305000000</v>
      </c>
      <c r="P7">
        <f t="shared" si="3"/>
        <v>139270.88849787315</v>
      </c>
    </row>
    <row r="8" spans="1:16" x14ac:dyDescent="0.3">
      <c r="A8">
        <v>2008</v>
      </c>
      <c r="B8" t="s">
        <v>9</v>
      </c>
      <c r="C8" t="s">
        <v>44</v>
      </c>
      <c r="D8" t="s">
        <v>11</v>
      </c>
      <c r="E8" t="s">
        <v>65</v>
      </c>
      <c r="F8" t="s">
        <v>66</v>
      </c>
      <c r="G8" t="s">
        <v>67</v>
      </c>
      <c r="H8" t="s">
        <v>68</v>
      </c>
      <c r="I8" t="s">
        <v>88</v>
      </c>
      <c r="J8" t="s">
        <v>70</v>
      </c>
      <c r="K8">
        <f t="shared" si="0"/>
        <v>8365700000</v>
      </c>
      <c r="L8" t="s">
        <v>89</v>
      </c>
      <c r="M8">
        <f t="shared" si="1"/>
        <v>1524084.5327017673</v>
      </c>
      <c r="N8" t="s">
        <v>90</v>
      </c>
      <c r="O8">
        <f t="shared" si="2"/>
        <v>1449600000</v>
      </c>
      <c r="P8">
        <f t="shared" si="3"/>
        <v>264091.82000364363</v>
      </c>
    </row>
    <row r="9" spans="1:16" x14ac:dyDescent="0.3">
      <c r="A9">
        <v>2008</v>
      </c>
      <c r="B9" t="s">
        <v>9</v>
      </c>
      <c r="C9" t="s">
        <v>91</v>
      </c>
      <c r="D9" t="s">
        <v>11</v>
      </c>
      <c r="E9" t="s">
        <v>65</v>
      </c>
      <c r="F9" t="s">
        <v>66</v>
      </c>
      <c r="G9" t="s">
        <v>67</v>
      </c>
      <c r="H9" t="s">
        <v>68</v>
      </c>
      <c r="I9" t="s">
        <v>92</v>
      </c>
      <c r="J9" t="s">
        <v>70</v>
      </c>
      <c r="K9">
        <f t="shared" si="0"/>
        <v>434891000000</v>
      </c>
      <c r="L9" t="s">
        <v>93</v>
      </c>
      <c r="M9">
        <f t="shared" si="1"/>
        <v>1816526.5989440621</v>
      </c>
      <c r="N9" t="s">
        <v>94</v>
      </c>
      <c r="O9">
        <f t="shared" si="2"/>
        <v>56605500000</v>
      </c>
      <c r="P9">
        <f t="shared" si="3"/>
        <v>236439.46735280359</v>
      </c>
    </row>
    <row r="10" spans="1:16" x14ac:dyDescent="0.3">
      <c r="A10">
        <v>2008</v>
      </c>
      <c r="B10" t="s">
        <v>9</v>
      </c>
      <c r="C10" t="s">
        <v>95</v>
      </c>
      <c r="D10" t="s">
        <v>11</v>
      </c>
      <c r="E10" t="s">
        <v>65</v>
      </c>
      <c r="F10" t="s">
        <v>66</v>
      </c>
      <c r="G10" t="s">
        <v>67</v>
      </c>
      <c r="H10" t="s">
        <v>68</v>
      </c>
      <c r="I10" t="s">
        <v>96</v>
      </c>
      <c r="J10" t="s">
        <v>70</v>
      </c>
      <c r="K10">
        <f t="shared" si="0"/>
        <v>330723700000</v>
      </c>
      <c r="L10" t="s">
        <v>97</v>
      </c>
      <c r="M10">
        <f t="shared" si="1"/>
        <v>1483877.7268281302</v>
      </c>
      <c r="N10" t="s">
        <v>98</v>
      </c>
      <c r="O10">
        <f t="shared" si="2"/>
        <v>43181000000</v>
      </c>
      <c r="P10">
        <f t="shared" si="3"/>
        <v>193742.76510018934</v>
      </c>
    </row>
    <row r="11" spans="1:16" x14ac:dyDescent="0.3">
      <c r="A11">
        <v>2008</v>
      </c>
      <c r="B11" t="s">
        <v>9</v>
      </c>
      <c r="C11" t="s">
        <v>19</v>
      </c>
      <c r="D11" t="s">
        <v>11</v>
      </c>
      <c r="E11" t="s">
        <v>65</v>
      </c>
      <c r="F11" t="s">
        <v>66</v>
      </c>
      <c r="G11" t="s">
        <v>67</v>
      </c>
      <c r="H11" t="s">
        <v>68</v>
      </c>
      <c r="I11" t="s">
        <v>99</v>
      </c>
      <c r="J11" t="s">
        <v>70</v>
      </c>
      <c r="K11">
        <f t="shared" si="0"/>
        <v>71915700000</v>
      </c>
      <c r="L11" t="s">
        <v>100</v>
      </c>
      <c r="M11">
        <f t="shared" si="1"/>
        <v>1058642.4659954072</v>
      </c>
      <c r="N11" t="s">
        <v>101</v>
      </c>
      <c r="O11">
        <f t="shared" si="2"/>
        <v>16076600000</v>
      </c>
      <c r="P11">
        <f t="shared" si="3"/>
        <v>236657.2454807749</v>
      </c>
    </row>
    <row r="12" spans="1:16" x14ac:dyDescent="0.3">
      <c r="A12">
        <v>2008</v>
      </c>
      <c r="B12" t="s">
        <v>9</v>
      </c>
      <c r="C12" t="s">
        <v>20</v>
      </c>
      <c r="D12" t="s">
        <v>11</v>
      </c>
      <c r="E12" t="s">
        <v>65</v>
      </c>
      <c r="F12" t="s">
        <v>66</v>
      </c>
      <c r="G12" t="s">
        <v>67</v>
      </c>
      <c r="H12" t="s">
        <v>68</v>
      </c>
      <c r="I12" t="s">
        <v>102</v>
      </c>
      <c r="J12" t="s">
        <v>70</v>
      </c>
      <c r="K12">
        <f t="shared" si="0"/>
        <v>169195900000</v>
      </c>
      <c r="L12" t="s">
        <v>103</v>
      </c>
      <c r="M12">
        <f t="shared" si="1"/>
        <v>2556563.0619059852</v>
      </c>
      <c r="N12" t="s">
        <v>104</v>
      </c>
      <c r="O12">
        <f t="shared" si="2"/>
        <v>18878600000</v>
      </c>
      <c r="P12">
        <f t="shared" si="3"/>
        <v>285257.09795862861</v>
      </c>
    </row>
    <row r="13" spans="1:16" x14ac:dyDescent="0.3">
      <c r="A13">
        <v>2008</v>
      </c>
      <c r="B13" t="s">
        <v>9</v>
      </c>
      <c r="C13" t="s">
        <v>21</v>
      </c>
      <c r="D13" t="s">
        <v>11</v>
      </c>
      <c r="E13" t="s">
        <v>65</v>
      </c>
      <c r="F13" t="s">
        <v>66</v>
      </c>
      <c r="G13" t="s">
        <v>67</v>
      </c>
      <c r="H13" t="s">
        <v>68</v>
      </c>
      <c r="I13" t="s">
        <v>105</v>
      </c>
      <c r="J13" t="s">
        <v>70</v>
      </c>
      <c r="K13">
        <f t="shared" si="0"/>
        <v>3492054100000</v>
      </c>
      <c r="L13" t="s">
        <v>106</v>
      </c>
      <c r="M13">
        <f t="shared" si="1"/>
        <v>1764706.4679633926</v>
      </c>
      <c r="N13" t="s">
        <v>107</v>
      </c>
      <c r="O13">
        <f t="shared" si="2"/>
        <v>436116500000</v>
      </c>
      <c r="P13">
        <f t="shared" si="3"/>
        <v>220391.08968430839</v>
      </c>
    </row>
    <row r="14" spans="1:16" x14ac:dyDescent="0.3">
      <c r="A14">
        <v>2008</v>
      </c>
      <c r="B14" t="s">
        <v>9</v>
      </c>
      <c r="C14" t="s">
        <v>22</v>
      </c>
      <c r="D14" t="s">
        <v>11</v>
      </c>
      <c r="E14" t="s">
        <v>65</v>
      </c>
      <c r="F14" t="s">
        <v>66</v>
      </c>
      <c r="G14" t="s">
        <v>67</v>
      </c>
      <c r="H14" t="s">
        <v>68</v>
      </c>
      <c r="I14" t="s">
        <v>108</v>
      </c>
      <c r="J14" t="s">
        <v>70</v>
      </c>
      <c r="K14">
        <f t="shared" si="0"/>
        <v>1530621300000</v>
      </c>
      <c r="L14" t="s">
        <v>109</v>
      </c>
      <c r="M14">
        <f t="shared" si="1"/>
        <v>1616431.1648153898</v>
      </c>
      <c r="N14" t="s">
        <v>110</v>
      </c>
      <c r="O14">
        <f t="shared" si="2"/>
        <v>190587600000</v>
      </c>
      <c r="P14">
        <f t="shared" si="3"/>
        <v>201272.34363416318</v>
      </c>
    </row>
    <row r="15" spans="1:16" x14ac:dyDescent="0.3">
      <c r="A15">
        <v>2008</v>
      </c>
      <c r="B15" t="s">
        <v>9</v>
      </c>
      <c r="C15" t="s">
        <v>23</v>
      </c>
      <c r="D15" t="s">
        <v>11</v>
      </c>
      <c r="E15" t="s">
        <v>65</v>
      </c>
      <c r="F15" t="s">
        <v>66</v>
      </c>
      <c r="G15" t="s">
        <v>67</v>
      </c>
      <c r="H15" t="s">
        <v>68</v>
      </c>
      <c r="I15" t="s">
        <v>111</v>
      </c>
      <c r="J15" t="s">
        <v>70</v>
      </c>
      <c r="K15">
        <f t="shared" si="0"/>
        <v>395608600000</v>
      </c>
      <c r="L15" t="s">
        <v>112</v>
      </c>
      <c r="M15">
        <f t="shared" si="1"/>
        <v>2289494.3660912188</v>
      </c>
      <c r="N15" t="s">
        <v>113</v>
      </c>
      <c r="O15">
        <f t="shared" si="2"/>
        <v>39457800000</v>
      </c>
      <c r="P15">
        <f t="shared" si="3"/>
        <v>228353.00041089626</v>
      </c>
    </row>
    <row r="16" spans="1:16" x14ac:dyDescent="0.3">
      <c r="A16">
        <v>2008</v>
      </c>
      <c r="B16" t="s">
        <v>9</v>
      </c>
      <c r="C16" t="s">
        <v>46</v>
      </c>
      <c r="D16" t="s">
        <v>11</v>
      </c>
      <c r="E16" t="s">
        <v>65</v>
      </c>
      <c r="F16" t="s">
        <v>66</v>
      </c>
      <c r="G16" t="s">
        <v>67</v>
      </c>
      <c r="H16" t="s">
        <v>68</v>
      </c>
      <c r="I16" t="s">
        <v>114</v>
      </c>
      <c r="J16" t="s">
        <v>70</v>
      </c>
      <c r="K16">
        <f t="shared" si="0"/>
        <v>83036700000</v>
      </c>
      <c r="L16" t="s">
        <v>115</v>
      </c>
      <c r="M16">
        <f t="shared" si="1"/>
        <v>1602220.8929880755</v>
      </c>
      <c r="N16" t="s">
        <v>116</v>
      </c>
      <c r="O16">
        <f t="shared" si="2"/>
        <v>8516900000</v>
      </c>
      <c r="P16">
        <f t="shared" si="3"/>
        <v>164336.43345039169</v>
      </c>
    </row>
    <row r="17" spans="1:16" x14ac:dyDescent="0.3">
      <c r="A17">
        <v>2008</v>
      </c>
      <c r="B17" t="s">
        <v>9</v>
      </c>
      <c r="C17" t="s">
        <v>24</v>
      </c>
      <c r="D17" t="s">
        <v>11</v>
      </c>
      <c r="E17" t="s">
        <v>65</v>
      </c>
      <c r="F17" t="s">
        <v>66</v>
      </c>
      <c r="G17" t="s">
        <v>67</v>
      </c>
      <c r="H17" t="s">
        <v>68</v>
      </c>
      <c r="I17" t="s">
        <v>117</v>
      </c>
      <c r="J17" t="s">
        <v>70</v>
      </c>
      <c r="K17">
        <f t="shared" si="0"/>
        <v>547275400000</v>
      </c>
      <c r="L17" t="s">
        <v>118</v>
      </c>
      <c r="M17">
        <f t="shared" si="1"/>
        <v>2865451.251629658</v>
      </c>
      <c r="N17" t="s">
        <v>119</v>
      </c>
      <c r="O17">
        <f t="shared" si="2"/>
        <v>61172400000</v>
      </c>
      <c r="P17">
        <f t="shared" si="3"/>
        <v>320289.43772219634</v>
      </c>
    </row>
    <row r="18" spans="1:16" x14ac:dyDescent="0.3">
      <c r="A18">
        <v>2008</v>
      </c>
      <c r="B18" t="s">
        <v>9</v>
      </c>
      <c r="C18" t="s">
        <v>25</v>
      </c>
      <c r="D18" t="s">
        <v>11</v>
      </c>
      <c r="E18" t="s">
        <v>65</v>
      </c>
      <c r="F18" t="s">
        <v>66</v>
      </c>
      <c r="G18" t="s">
        <v>67</v>
      </c>
      <c r="H18" t="s">
        <v>68</v>
      </c>
      <c r="I18" t="s">
        <v>120</v>
      </c>
      <c r="J18" t="s">
        <v>70</v>
      </c>
      <c r="K18">
        <f t="shared" si="0"/>
        <v>1837470300000</v>
      </c>
      <c r="L18" t="s">
        <v>121</v>
      </c>
      <c r="M18">
        <f t="shared" si="1"/>
        <v>1896406.8315096572</v>
      </c>
      <c r="N18" t="s">
        <v>122</v>
      </c>
      <c r="O18">
        <f t="shared" si="2"/>
        <v>250122100000</v>
      </c>
      <c r="P18">
        <f t="shared" si="3"/>
        <v>258144.72165974145</v>
      </c>
    </row>
    <row r="19" spans="1:16" x14ac:dyDescent="0.3">
      <c r="A19">
        <v>2008</v>
      </c>
      <c r="B19" t="s">
        <v>9</v>
      </c>
      <c r="C19" t="s">
        <v>26</v>
      </c>
      <c r="D19" t="s">
        <v>11</v>
      </c>
      <c r="E19" t="s">
        <v>65</v>
      </c>
      <c r="F19" t="s">
        <v>66</v>
      </c>
      <c r="G19" t="s">
        <v>67</v>
      </c>
      <c r="H19" t="s">
        <v>68</v>
      </c>
      <c r="I19" t="s">
        <v>123</v>
      </c>
      <c r="J19" t="s">
        <v>70</v>
      </c>
      <c r="K19">
        <f t="shared" si="0"/>
        <v>397176600000</v>
      </c>
      <c r="L19" t="s">
        <v>124</v>
      </c>
      <c r="M19">
        <f t="shared" si="1"/>
        <v>1403485.5985837106</v>
      </c>
      <c r="N19" t="s">
        <v>125</v>
      </c>
      <c r="O19">
        <f t="shared" si="2"/>
        <v>69693100000</v>
      </c>
      <c r="P19">
        <f t="shared" si="3"/>
        <v>246271.46254500994</v>
      </c>
    </row>
    <row r="20" spans="1:16" x14ac:dyDescent="0.3">
      <c r="A20">
        <v>2008</v>
      </c>
      <c r="B20" t="s">
        <v>9</v>
      </c>
      <c r="C20" t="s">
        <v>47</v>
      </c>
      <c r="D20" t="s">
        <v>11</v>
      </c>
      <c r="E20" t="s">
        <v>65</v>
      </c>
      <c r="F20" t="s">
        <v>66</v>
      </c>
      <c r="G20" t="s">
        <v>67</v>
      </c>
      <c r="H20" t="s">
        <v>68</v>
      </c>
      <c r="I20" t="s">
        <v>126</v>
      </c>
      <c r="J20" t="s">
        <v>70</v>
      </c>
      <c r="K20">
        <f t="shared" si="0"/>
        <v>72700000</v>
      </c>
      <c r="L20" t="s">
        <v>127</v>
      </c>
      <c r="M20">
        <f t="shared" si="1"/>
        <v>326008.96860986546</v>
      </c>
      <c r="N20" t="s">
        <v>128</v>
      </c>
      <c r="O20">
        <f t="shared" si="2"/>
        <v>40300000</v>
      </c>
      <c r="P20">
        <f t="shared" si="3"/>
        <v>180717.48878923766</v>
      </c>
    </row>
    <row r="21" spans="1:16" x14ac:dyDescent="0.3">
      <c r="A21">
        <v>2008</v>
      </c>
      <c r="B21" t="s">
        <v>9</v>
      </c>
      <c r="C21" t="s">
        <v>48</v>
      </c>
      <c r="D21" t="s">
        <v>11</v>
      </c>
      <c r="E21" t="s">
        <v>65</v>
      </c>
      <c r="F21" t="s">
        <v>66</v>
      </c>
      <c r="G21" t="s">
        <v>67</v>
      </c>
      <c r="H21" t="s">
        <v>68</v>
      </c>
      <c r="I21" t="s">
        <v>129</v>
      </c>
      <c r="J21" t="s">
        <v>70</v>
      </c>
      <c r="K21">
        <f t="shared" si="0"/>
        <v>2500000</v>
      </c>
      <c r="L21" t="s">
        <v>130</v>
      </c>
      <c r="M21">
        <f t="shared" si="1"/>
        <v>312500</v>
      </c>
      <c r="N21" t="s">
        <v>130</v>
      </c>
      <c r="O21">
        <f t="shared" si="2"/>
        <v>800000</v>
      </c>
      <c r="P21">
        <f t="shared" si="3"/>
        <v>100000</v>
      </c>
    </row>
    <row r="22" spans="1:16" x14ac:dyDescent="0.3">
      <c r="A22">
        <v>2008</v>
      </c>
      <c r="B22" t="s">
        <v>9</v>
      </c>
      <c r="C22" t="s">
        <v>27</v>
      </c>
      <c r="D22" t="s">
        <v>11</v>
      </c>
      <c r="E22" t="s">
        <v>65</v>
      </c>
      <c r="F22" t="s">
        <v>66</v>
      </c>
      <c r="G22" t="s">
        <v>67</v>
      </c>
      <c r="H22" t="s">
        <v>68</v>
      </c>
      <c r="I22" t="s">
        <v>131</v>
      </c>
      <c r="J22" t="s">
        <v>70</v>
      </c>
      <c r="K22">
        <f t="shared" si="0"/>
        <v>826652100000</v>
      </c>
      <c r="L22" t="s">
        <v>132</v>
      </c>
      <c r="M22">
        <f t="shared" si="1"/>
        <v>2148934.4390142458</v>
      </c>
      <c r="N22" t="s">
        <v>133</v>
      </c>
      <c r="O22">
        <f t="shared" si="2"/>
        <v>77669300000</v>
      </c>
      <c r="P22">
        <f t="shared" si="3"/>
        <v>201906.25974836227</v>
      </c>
    </row>
    <row r="23" spans="1:16" x14ac:dyDescent="0.3">
      <c r="A23">
        <v>2008</v>
      </c>
      <c r="B23" t="s">
        <v>9</v>
      </c>
      <c r="C23" t="s">
        <v>28</v>
      </c>
      <c r="D23" t="s">
        <v>11</v>
      </c>
      <c r="E23" t="s">
        <v>65</v>
      </c>
      <c r="F23" t="s">
        <v>66</v>
      </c>
      <c r="G23" t="s">
        <v>67</v>
      </c>
      <c r="H23" t="s">
        <v>68</v>
      </c>
      <c r="I23" t="s">
        <v>134</v>
      </c>
      <c r="J23" t="s">
        <v>70</v>
      </c>
      <c r="K23">
        <f t="shared" si="0"/>
        <v>3920973800000</v>
      </c>
      <c r="L23" t="s">
        <v>135</v>
      </c>
      <c r="M23">
        <f t="shared" si="1"/>
        <v>2119865.8328435966</v>
      </c>
      <c r="N23" t="s">
        <v>136</v>
      </c>
      <c r="O23">
        <f t="shared" si="2"/>
        <v>492570800000</v>
      </c>
      <c r="P23">
        <f t="shared" si="3"/>
        <v>266307.31610000471</v>
      </c>
    </row>
    <row r="24" spans="1:16" x14ac:dyDescent="0.3">
      <c r="A24">
        <v>2008</v>
      </c>
      <c r="B24" t="s">
        <v>9</v>
      </c>
      <c r="C24" t="s">
        <v>29</v>
      </c>
      <c r="D24" t="s">
        <v>11</v>
      </c>
      <c r="E24" t="s">
        <v>65</v>
      </c>
      <c r="F24" t="s">
        <v>66</v>
      </c>
      <c r="G24" t="s">
        <v>67</v>
      </c>
      <c r="H24" t="s">
        <v>68</v>
      </c>
      <c r="I24" t="s">
        <v>137</v>
      </c>
      <c r="J24" t="s">
        <v>70</v>
      </c>
      <c r="K24">
        <f t="shared" si="0"/>
        <v>1106700000</v>
      </c>
      <c r="L24" t="s">
        <v>138</v>
      </c>
      <c r="M24">
        <f t="shared" si="1"/>
        <v>262313.34439440625</v>
      </c>
      <c r="N24" t="s">
        <v>139</v>
      </c>
      <c r="O24">
        <f t="shared" si="2"/>
        <v>370800000</v>
      </c>
      <c r="P24">
        <f t="shared" si="3"/>
        <v>87888.12514813937</v>
      </c>
    </row>
    <row r="25" spans="1:16" x14ac:dyDescent="0.3">
      <c r="A25">
        <v>2008</v>
      </c>
      <c r="B25" t="s">
        <v>9</v>
      </c>
      <c r="C25" t="s">
        <v>30</v>
      </c>
      <c r="D25" t="s">
        <v>11</v>
      </c>
      <c r="E25" t="s">
        <v>65</v>
      </c>
      <c r="F25" t="s">
        <v>66</v>
      </c>
      <c r="G25" t="s">
        <v>67</v>
      </c>
      <c r="H25" t="s">
        <v>68</v>
      </c>
      <c r="I25" t="s">
        <v>140</v>
      </c>
      <c r="J25" t="s">
        <v>70</v>
      </c>
      <c r="K25">
        <f t="shared" si="0"/>
        <v>21151700000</v>
      </c>
      <c r="L25" t="s">
        <v>141</v>
      </c>
      <c r="M25">
        <f t="shared" si="1"/>
        <v>1980125.4446732821</v>
      </c>
      <c r="N25" t="s">
        <v>142</v>
      </c>
      <c r="O25">
        <f t="shared" si="2"/>
        <v>2055900000</v>
      </c>
      <c r="P25">
        <f t="shared" si="3"/>
        <v>192463.95806028834</v>
      </c>
    </row>
    <row r="26" spans="1:16" x14ac:dyDescent="0.3">
      <c r="A26">
        <v>2008</v>
      </c>
      <c r="B26" t="s">
        <v>9</v>
      </c>
      <c r="C26" t="s">
        <v>31</v>
      </c>
      <c r="D26" t="s">
        <v>11</v>
      </c>
      <c r="E26" t="s">
        <v>65</v>
      </c>
      <c r="F26" t="s">
        <v>66</v>
      </c>
      <c r="G26" t="s">
        <v>67</v>
      </c>
      <c r="H26" t="s">
        <v>68</v>
      </c>
      <c r="I26" t="s">
        <v>143</v>
      </c>
      <c r="J26" t="s">
        <v>70</v>
      </c>
      <c r="K26">
        <f t="shared" si="0"/>
        <v>233800000</v>
      </c>
      <c r="L26" t="s">
        <v>144</v>
      </c>
      <c r="M26">
        <f t="shared" si="1"/>
        <v>223091.6030534351</v>
      </c>
      <c r="N26" t="s">
        <v>145</v>
      </c>
      <c r="O26">
        <f t="shared" si="2"/>
        <v>95900000</v>
      </c>
      <c r="P26">
        <f t="shared" si="3"/>
        <v>91507.633587786258</v>
      </c>
    </row>
    <row r="27" spans="1:16" x14ac:dyDescent="0.3">
      <c r="A27">
        <v>2008</v>
      </c>
      <c r="B27" t="s">
        <v>9</v>
      </c>
      <c r="C27" t="s">
        <v>32</v>
      </c>
      <c r="D27" t="s">
        <v>11</v>
      </c>
      <c r="E27" t="s">
        <v>65</v>
      </c>
      <c r="F27" t="s">
        <v>66</v>
      </c>
      <c r="G27" t="s">
        <v>67</v>
      </c>
      <c r="H27" t="s">
        <v>68</v>
      </c>
      <c r="I27" t="s">
        <v>146</v>
      </c>
      <c r="J27" t="s">
        <v>70</v>
      </c>
      <c r="K27">
        <f t="shared" si="0"/>
        <v>1061600000</v>
      </c>
      <c r="L27" t="s">
        <v>147</v>
      </c>
      <c r="M27">
        <f t="shared" si="1"/>
        <v>208894.13616686343</v>
      </c>
      <c r="N27" t="s">
        <v>148</v>
      </c>
      <c r="O27">
        <f t="shared" si="2"/>
        <v>310500000</v>
      </c>
      <c r="P27">
        <f t="shared" si="3"/>
        <v>61097.992916174735</v>
      </c>
    </row>
    <row r="28" spans="1:16" x14ac:dyDescent="0.3">
      <c r="A28">
        <v>2008</v>
      </c>
      <c r="B28" t="s">
        <v>9</v>
      </c>
      <c r="C28" t="s">
        <v>33</v>
      </c>
      <c r="D28" t="s">
        <v>11</v>
      </c>
      <c r="E28" t="s">
        <v>65</v>
      </c>
      <c r="F28" t="s">
        <v>66</v>
      </c>
      <c r="G28" t="s">
        <v>67</v>
      </c>
      <c r="H28" t="s">
        <v>68</v>
      </c>
      <c r="I28" t="s">
        <v>149</v>
      </c>
      <c r="J28" t="s">
        <v>70</v>
      </c>
      <c r="K28">
        <f t="shared" si="0"/>
        <v>786797600000</v>
      </c>
      <c r="L28" t="s">
        <v>150</v>
      </c>
      <c r="M28">
        <f t="shared" si="1"/>
        <v>2505006.8451717659</v>
      </c>
      <c r="N28" t="s">
        <v>151</v>
      </c>
      <c r="O28">
        <f t="shared" si="2"/>
        <v>86162800000</v>
      </c>
      <c r="P28">
        <f t="shared" si="3"/>
        <v>274325.19341589988</v>
      </c>
    </row>
    <row r="29" spans="1:16" x14ac:dyDescent="0.3">
      <c r="A29">
        <v>2008</v>
      </c>
      <c r="B29" t="s">
        <v>9</v>
      </c>
      <c r="C29" t="s">
        <v>152</v>
      </c>
      <c r="D29" t="s">
        <v>11</v>
      </c>
      <c r="E29" t="s">
        <v>65</v>
      </c>
      <c r="F29" t="s">
        <v>66</v>
      </c>
      <c r="G29" t="s">
        <v>67</v>
      </c>
      <c r="H29" t="s">
        <v>68</v>
      </c>
      <c r="I29" t="s">
        <v>153</v>
      </c>
      <c r="J29" t="s">
        <v>70</v>
      </c>
      <c r="K29">
        <f t="shared" si="0"/>
        <v>78910600000</v>
      </c>
      <c r="L29" t="s">
        <v>154</v>
      </c>
      <c r="M29">
        <f t="shared" si="1"/>
        <v>1868148.6742424243</v>
      </c>
      <c r="N29" t="s">
        <v>155</v>
      </c>
      <c r="O29">
        <f t="shared" si="2"/>
        <v>10293400000</v>
      </c>
      <c r="P29">
        <f t="shared" si="3"/>
        <v>243688.44696969696</v>
      </c>
    </row>
    <row r="30" spans="1:16" x14ac:dyDescent="0.3">
      <c r="A30">
        <v>2008</v>
      </c>
      <c r="B30" t="s">
        <v>9</v>
      </c>
      <c r="C30" t="s">
        <v>34</v>
      </c>
      <c r="D30" t="s">
        <v>11</v>
      </c>
      <c r="E30" t="s">
        <v>65</v>
      </c>
      <c r="F30" t="s">
        <v>66</v>
      </c>
      <c r="G30" t="s">
        <v>67</v>
      </c>
      <c r="H30" t="s">
        <v>68</v>
      </c>
      <c r="I30" t="s">
        <v>156</v>
      </c>
      <c r="J30" t="s">
        <v>70</v>
      </c>
      <c r="K30">
        <f t="shared" si="0"/>
        <v>603658000000</v>
      </c>
      <c r="L30" t="s">
        <v>157</v>
      </c>
      <c r="M30">
        <f t="shared" si="1"/>
        <v>962006.31395428523</v>
      </c>
      <c r="N30" t="s">
        <v>158</v>
      </c>
      <c r="O30">
        <f t="shared" si="2"/>
        <v>108796500000</v>
      </c>
      <c r="P30">
        <f t="shared" si="3"/>
        <v>173381.15279864988</v>
      </c>
    </row>
    <row r="31" spans="1:16" x14ac:dyDescent="0.3">
      <c r="A31">
        <v>2008</v>
      </c>
      <c r="B31" t="s">
        <v>9</v>
      </c>
      <c r="C31" t="s">
        <v>35</v>
      </c>
      <c r="D31" t="s">
        <v>11</v>
      </c>
      <c r="E31" t="s">
        <v>65</v>
      </c>
      <c r="F31" t="s">
        <v>66</v>
      </c>
      <c r="G31" t="s">
        <v>67</v>
      </c>
      <c r="H31" t="s">
        <v>68</v>
      </c>
      <c r="I31" t="s">
        <v>159</v>
      </c>
      <c r="J31" t="s">
        <v>70</v>
      </c>
      <c r="K31">
        <f t="shared" si="0"/>
        <v>1019795900000</v>
      </c>
      <c r="L31" t="s">
        <v>160</v>
      </c>
      <c r="M31">
        <f t="shared" si="1"/>
        <v>1709346.1280590009</v>
      </c>
      <c r="N31" t="s">
        <v>161</v>
      </c>
      <c r="O31">
        <f t="shared" si="2"/>
        <v>130786000000</v>
      </c>
      <c r="P31">
        <f t="shared" si="3"/>
        <v>219218.90714046263</v>
      </c>
    </row>
    <row r="32" spans="1:16" x14ac:dyDescent="0.3">
      <c r="A32">
        <v>2008</v>
      </c>
      <c r="B32" t="s">
        <v>9</v>
      </c>
      <c r="C32" t="s">
        <v>36</v>
      </c>
      <c r="D32" t="s">
        <v>11</v>
      </c>
      <c r="E32" t="s">
        <v>65</v>
      </c>
      <c r="F32" t="s">
        <v>66</v>
      </c>
      <c r="G32" t="s">
        <v>67</v>
      </c>
      <c r="H32" t="s">
        <v>68</v>
      </c>
      <c r="I32" t="s">
        <v>162</v>
      </c>
      <c r="J32" t="s">
        <v>70</v>
      </c>
      <c r="K32">
        <f t="shared" si="0"/>
        <v>157053200000</v>
      </c>
      <c r="L32" t="s">
        <v>163</v>
      </c>
      <c r="M32">
        <f t="shared" si="1"/>
        <v>7541570.2280912362</v>
      </c>
      <c r="N32" t="s">
        <v>164</v>
      </c>
      <c r="O32">
        <f t="shared" si="2"/>
        <v>6171700000</v>
      </c>
      <c r="P32">
        <f t="shared" si="3"/>
        <v>296360.14405762305</v>
      </c>
    </row>
    <row r="33" spans="1:16" x14ac:dyDescent="0.3">
      <c r="A33">
        <v>2008</v>
      </c>
      <c r="B33" t="s">
        <v>9</v>
      </c>
      <c r="C33" t="s">
        <v>37</v>
      </c>
      <c r="D33" t="s">
        <v>11</v>
      </c>
      <c r="E33" t="s">
        <v>65</v>
      </c>
      <c r="F33" t="s">
        <v>66</v>
      </c>
      <c r="G33" t="s">
        <v>67</v>
      </c>
      <c r="H33" t="s">
        <v>68</v>
      </c>
      <c r="I33" t="s">
        <v>165</v>
      </c>
      <c r="J33" t="s">
        <v>70</v>
      </c>
      <c r="K33">
        <f t="shared" si="0"/>
        <v>2521751400000</v>
      </c>
      <c r="L33" t="s">
        <v>166</v>
      </c>
      <c r="M33">
        <f t="shared" si="1"/>
        <v>1018611.6513678088</v>
      </c>
      <c r="N33" t="s">
        <v>167</v>
      </c>
      <c r="O33">
        <f t="shared" si="2"/>
        <v>490405700000</v>
      </c>
      <c r="P33">
        <f t="shared" si="3"/>
        <v>198089.69271006898</v>
      </c>
    </row>
    <row r="34" spans="1:16" x14ac:dyDescent="0.3">
      <c r="A34">
        <v>2008</v>
      </c>
      <c r="B34" t="s">
        <v>9</v>
      </c>
      <c r="C34" t="s">
        <v>38</v>
      </c>
      <c r="D34" t="s">
        <v>11</v>
      </c>
      <c r="E34" t="s">
        <v>65</v>
      </c>
      <c r="F34" t="s">
        <v>66</v>
      </c>
      <c r="G34" t="s">
        <v>67</v>
      </c>
      <c r="H34" t="s">
        <v>68</v>
      </c>
      <c r="I34" t="s">
        <v>168</v>
      </c>
      <c r="J34" t="s">
        <v>70</v>
      </c>
      <c r="K34">
        <f t="shared" si="0"/>
        <v>819886800000</v>
      </c>
      <c r="L34" t="s">
        <v>169</v>
      </c>
      <c r="M34">
        <f t="shared" si="1"/>
        <v>1061000.14364302</v>
      </c>
      <c r="N34" t="s">
        <v>170</v>
      </c>
      <c r="O34">
        <f t="shared" si="2"/>
        <v>145328600000</v>
      </c>
      <c r="P34">
        <f t="shared" si="3"/>
        <v>188067.01788032078</v>
      </c>
    </row>
    <row r="35" spans="1:16" x14ac:dyDescent="0.3">
      <c r="A35">
        <v>2008</v>
      </c>
      <c r="B35" t="s">
        <v>9</v>
      </c>
      <c r="C35" t="s">
        <v>39</v>
      </c>
      <c r="D35" t="s">
        <v>11</v>
      </c>
      <c r="E35" t="s">
        <v>65</v>
      </c>
      <c r="F35" t="s">
        <v>66</v>
      </c>
      <c r="G35" t="s">
        <v>67</v>
      </c>
      <c r="H35" t="s">
        <v>68</v>
      </c>
      <c r="I35" t="s">
        <v>171</v>
      </c>
      <c r="J35" t="s">
        <v>70</v>
      </c>
      <c r="K35">
        <f t="shared" si="0"/>
        <v>4484400000</v>
      </c>
      <c r="L35" t="s">
        <v>172</v>
      </c>
      <c r="M35">
        <f t="shared" si="1"/>
        <v>217678.75345856996</v>
      </c>
      <c r="N35" t="s">
        <v>173</v>
      </c>
      <c r="O35">
        <f t="shared" si="2"/>
        <v>1285500000</v>
      </c>
      <c r="P35">
        <f t="shared" si="3"/>
        <v>62399.883500800934</v>
      </c>
    </row>
    <row r="36" spans="1:16" x14ac:dyDescent="0.3">
      <c r="A36">
        <v>2008</v>
      </c>
      <c r="B36" t="s">
        <v>9</v>
      </c>
      <c r="C36" t="s">
        <v>41</v>
      </c>
      <c r="D36" t="s">
        <v>11</v>
      </c>
      <c r="E36" t="s">
        <v>65</v>
      </c>
      <c r="F36" t="s">
        <v>66</v>
      </c>
      <c r="G36" t="s">
        <v>67</v>
      </c>
      <c r="H36" t="s">
        <v>68</v>
      </c>
      <c r="I36" t="s">
        <v>174</v>
      </c>
      <c r="J36" t="s">
        <v>70</v>
      </c>
      <c r="K36">
        <f t="shared" si="0"/>
        <v>616641600000</v>
      </c>
      <c r="L36" t="s">
        <v>175</v>
      </c>
      <c r="M36">
        <f t="shared" si="1"/>
        <v>1753521.4511785565</v>
      </c>
      <c r="N36" t="s">
        <v>176</v>
      </c>
      <c r="O36">
        <f t="shared" si="2"/>
        <v>69048400000</v>
      </c>
      <c r="P36">
        <f t="shared" si="3"/>
        <v>196350.44176318537</v>
      </c>
    </row>
    <row r="37" spans="1:16" x14ac:dyDescent="0.3">
      <c r="A37">
        <v>2008</v>
      </c>
      <c r="B37" t="s">
        <v>9</v>
      </c>
      <c r="C37" t="s">
        <v>40</v>
      </c>
      <c r="D37" t="s">
        <v>11</v>
      </c>
      <c r="E37" t="s">
        <v>65</v>
      </c>
      <c r="F37" t="s">
        <v>66</v>
      </c>
      <c r="G37" t="s">
        <v>67</v>
      </c>
      <c r="H37" t="s">
        <v>68</v>
      </c>
      <c r="I37" t="s">
        <v>177</v>
      </c>
      <c r="J37" t="s">
        <v>70</v>
      </c>
      <c r="K37">
        <f t="shared" si="0"/>
        <v>1671568700000</v>
      </c>
      <c r="L37" t="s">
        <v>178</v>
      </c>
      <c r="M37">
        <f t="shared" si="1"/>
        <v>1305138.1211155877</v>
      </c>
      <c r="N37" t="s">
        <v>179</v>
      </c>
      <c r="O37">
        <f t="shared" si="2"/>
        <v>225955200000</v>
      </c>
      <c r="P37">
        <f t="shared" si="3"/>
        <v>176422.74899278552</v>
      </c>
    </row>
    <row r="38" spans="1:16" x14ac:dyDescent="0.3">
      <c r="A38">
        <v>2008</v>
      </c>
      <c r="B38" t="s">
        <v>9</v>
      </c>
      <c r="C38" t="s">
        <v>42</v>
      </c>
      <c r="D38" t="s">
        <v>11</v>
      </c>
      <c r="E38" t="s">
        <v>65</v>
      </c>
      <c r="F38" t="s">
        <v>66</v>
      </c>
      <c r="G38" t="s">
        <v>67</v>
      </c>
      <c r="H38" t="s">
        <v>68</v>
      </c>
      <c r="I38" t="s">
        <v>180</v>
      </c>
      <c r="J38" t="s">
        <v>70</v>
      </c>
      <c r="K38">
        <f t="shared" si="0"/>
        <v>791531900000</v>
      </c>
      <c r="L38" t="s">
        <v>181</v>
      </c>
      <c r="M38">
        <f t="shared" si="1"/>
        <v>1300266.2851172739</v>
      </c>
      <c r="N38" t="s">
        <v>182</v>
      </c>
      <c r="O38">
        <f t="shared" si="2"/>
        <v>126703300000</v>
      </c>
      <c r="P38">
        <f t="shared" si="3"/>
        <v>208138.2054255798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A255-F694-4E6B-A541-178FF2D64167}">
  <dimension ref="A1:M35"/>
  <sheetViews>
    <sheetView tabSelected="1" workbookViewId="0">
      <selection activeCell="S9" sqref="S9"/>
    </sheetView>
  </sheetViews>
  <sheetFormatPr defaultRowHeight="15.6" x14ac:dyDescent="0.3"/>
  <cols>
    <col min="12" max="12" width="11.8984375" bestFit="1" customWidth="1"/>
    <col min="13" max="13" width="14.5" style="3" bestFit="1" customWidth="1"/>
  </cols>
  <sheetData>
    <row r="1" spans="1:13" x14ac:dyDescent="0.3">
      <c r="A1" t="s">
        <v>53</v>
      </c>
      <c r="B1" t="s">
        <v>1</v>
      </c>
      <c r="C1" t="s">
        <v>54</v>
      </c>
      <c r="D1" t="s">
        <v>3</v>
      </c>
      <c r="E1" t="s">
        <v>4</v>
      </c>
      <c r="F1" t="s">
        <v>55</v>
      </c>
      <c r="G1" t="s">
        <v>56</v>
      </c>
      <c r="H1" t="s">
        <v>57</v>
      </c>
      <c r="I1" t="s">
        <v>7</v>
      </c>
      <c r="J1" t="s">
        <v>58</v>
      </c>
      <c r="K1" t="s">
        <v>59</v>
      </c>
      <c r="L1" t="s">
        <v>59</v>
      </c>
      <c r="M1" s="3" t="s">
        <v>61</v>
      </c>
    </row>
    <row r="2" spans="1:13" x14ac:dyDescent="0.3">
      <c r="A2">
        <v>2008</v>
      </c>
      <c r="B2" t="s">
        <v>9</v>
      </c>
      <c r="C2" t="s">
        <v>50</v>
      </c>
      <c r="D2" t="s">
        <v>11</v>
      </c>
      <c r="E2" t="s">
        <v>184</v>
      </c>
      <c r="F2" t="s">
        <v>66</v>
      </c>
      <c r="G2" t="s">
        <v>67</v>
      </c>
      <c r="H2" t="s">
        <v>68</v>
      </c>
      <c r="I2" t="s">
        <v>71</v>
      </c>
      <c r="J2" t="s">
        <v>185</v>
      </c>
      <c r="K2">
        <v>245833606</v>
      </c>
      <c r="L2">
        <f>K2*100000</f>
        <v>24583360600000</v>
      </c>
      <c r="M2" s="3">
        <f>L2/I2</f>
        <v>1583983.8087180266</v>
      </c>
    </row>
    <row r="3" spans="1:13" x14ac:dyDescent="0.3">
      <c r="A3">
        <v>2008</v>
      </c>
      <c r="B3" t="s">
        <v>186</v>
      </c>
      <c r="C3" t="s">
        <v>50</v>
      </c>
      <c r="D3" t="s">
        <v>11</v>
      </c>
      <c r="E3" t="s">
        <v>184</v>
      </c>
      <c r="F3" t="s">
        <v>66</v>
      </c>
      <c r="G3" t="s">
        <v>67</v>
      </c>
      <c r="H3" t="s">
        <v>68</v>
      </c>
      <c r="I3" t="s">
        <v>187</v>
      </c>
      <c r="J3" t="s">
        <v>185</v>
      </c>
      <c r="K3">
        <v>219705605</v>
      </c>
      <c r="L3">
        <f t="shared" ref="L3:L17" si="0">K3*100000</f>
        <v>21970560500000</v>
      </c>
      <c r="M3" s="3">
        <f t="shared" ref="M3:M17" si="1">L3/I3</f>
        <v>1503085.7282264568</v>
      </c>
    </row>
    <row r="4" spans="1:13" x14ac:dyDescent="0.3">
      <c r="A4">
        <v>2008</v>
      </c>
      <c r="B4" t="s">
        <v>188</v>
      </c>
      <c r="C4" t="s">
        <v>50</v>
      </c>
      <c r="D4" t="s">
        <v>11</v>
      </c>
      <c r="E4" t="s">
        <v>184</v>
      </c>
      <c r="F4" t="s">
        <v>66</v>
      </c>
      <c r="G4" t="s">
        <v>67</v>
      </c>
      <c r="H4" t="s">
        <v>68</v>
      </c>
      <c r="I4" t="s">
        <v>189</v>
      </c>
      <c r="J4" t="s">
        <v>185</v>
      </c>
      <c r="K4">
        <v>204797151</v>
      </c>
      <c r="L4">
        <f t="shared" si="0"/>
        <v>20479715100000</v>
      </c>
      <c r="M4" s="3">
        <f t="shared" si="1"/>
        <v>1504762.595783917</v>
      </c>
    </row>
    <row r="5" spans="1:13" x14ac:dyDescent="0.3">
      <c r="A5">
        <v>2008</v>
      </c>
      <c r="B5" t="s">
        <v>190</v>
      </c>
      <c r="C5" t="s">
        <v>50</v>
      </c>
      <c r="D5" t="s">
        <v>11</v>
      </c>
      <c r="E5" t="s">
        <v>184</v>
      </c>
      <c r="F5" t="s">
        <v>66</v>
      </c>
      <c r="G5" t="s">
        <v>67</v>
      </c>
      <c r="H5" t="s">
        <v>68</v>
      </c>
      <c r="I5" t="s">
        <v>191</v>
      </c>
      <c r="J5" t="s">
        <v>185</v>
      </c>
      <c r="K5">
        <v>161714846</v>
      </c>
      <c r="L5">
        <f t="shared" si="0"/>
        <v>16171484600000</v>
      </c>
      <c r="M5" s="3">
        <f t="shared" si="1"/>
        <v>1284005.217171886</v>
      </c>
    </row>
    <row r="6" spans="1:13" x14ac:dyDescent="0.3">
      <c r="A6">
        <v>2008</v>
      </c>
      <c r="B6" t="s">
        <v>192</v>
      </c>
      <c r="C6" t="s">
        <v>50</v>
      </c>
      <c r="D6" t="s">
        <v>11</v>
      </c>
      <c r="E6" t="s">
        <v>184</v>
      </c>
      <c r="F6" t="s">
        <v>66</v>
      </c>
      <c r="G6" t="s">
        <v>67</v>
      </c>
      <c r="H6" t="s">
        <v>68</v>
      </c>
      <c r="I6" t="s">
        <v>193</v>
      </c>
      <c r="J6" t="s">
        <v>185</v>
      </c>
      <c r="K6">
        <v>148574512</v>
      </c>
      <c r="L6">
        <f t="shared" si="0"/>
        <v>14857451200000</v>
      </c>
      <c r="M6" s="3">
        <f t="shared" si="1"/>
        <v>1137790.9101407579</v>
      </c>
    </row>
    <row r="7" spans="1:13" x14ac:dyDescent="0.3">
      <c r="A7">
        <v>2008</v>
      </c>
      <c r="B7" t="s">
        <v>194</v>
      </c>
      <c r="C7" t="s">
        <v>50</v>
      </c>
      <c r="D7" t="s">
        <v>11</v>
      </c>
      <c r="E7" t="s">
        <v>184</v>
      </c>
      <c r="F7" t="s">
        <v>66</v>
      </c>
      <c r="G7" t="s">
        <v>67</v>
      </c>
      <c r="H7" t="s">
        <v>68</v>
      </c>
      <c r="I7" t="s">
        <v>195</v>
      </c>
      <c r="J7" t="s">
        <v>185</v>
      </c>
      <c r="K7">
        <v>153801928</v>
      </c>
      <c r="L7">
        <f t="shared" si="0"/>
        <v>15380192800000</v>
      </c>
      <c r="M7" s="3">
        <f t="shared" si="1"/>
        <v>1201710.1261482907</v>
      </c>
    </row>
    <row r="8" spans="1:13" x14ac:dyDescent="0.3">
      <c r="A8">
        <v>2008</v>
      </c>
      <c r="B8" t="s">
        <v>196</v>
      </c>
      <c r="C8" t="s">
        <v>50</v>
      </c>
      <c r="D8" t="s">
        <v>11</v>
      </c>
      <c r="E8" t="s">
        <v>184</v>
      </c>
      <c r="F8" t="s">
        <v>66</v>
      </c>
      <c r="G8" t="s">
        <v>67</v>
      </c>
      <c r="H8" t="s">
        <v>68</v>
      </c>
      <c r="I8" t="s">
        <v>197</v>
      </c>
      <c r="J8" t="s">
        <v>185</v>
      </c>
      <c r="K8">
        <v>146697043</v>
      </c>
      <c r="L8">
        <f t="shared" si="0"/>
        <v>14669704300000</v>
      </c>
      <c r="M8" s="3">
        <f t="shared" si="1"/>
        <v>1200032.54959621</v>
      </c>
    </row>
    <row r="9" spans="1:13" x14ac:dyDescent="0.3">
      <c r="A9">
        <v>2008</v>
      </c>
      <c r="B9" t="s">
        <v>198</v>
      </c>
      <c r="C9" t="s">
        <v>50</v>
      </c>
      <c r="D9" t="s">
        <v>11</v>
      </c>
      <c r="E9" t="s">
        <v>184</v>
      </c>
      <c r="F9" t="s">
        <v>66</v>
      </c>
      <c r="G9" t="s">
        <v>67</v>
      </c>
      <c r="H9" t="s">
        <v>68</v>
      </c>
      <c r="I9" t="s">
        <v>199</v>
      </c>
      <c r="J9" t="s">
        <v>185</v>
      </c>
      <c r="K9">
        <v>136805049</v>
      </c>
      <c r="L9">
        <f t="shared" si="0"/>
        <v>13680504900000</v>
      </c>
      <c r="M9" s="3">
        <f t="shared" si="1"/>
        <v>1172988.6880219895</v>
      </c>
    </row>
    <row r="10" spans="1:13" x14ac:dyDescent="0.3">
      <c r="A10">
        <v>2008</v>
      </c>
      <c r="B10" t="s">
        <v>200</v>
      </c>
      <c r="C10" t="s">
        <v>50</v>
      </c>
      <c r="D10" t="s">
        <v>11</v>
      </c>
      <c r="E10" t="s">
        <v>184</v>
      </c>
      <c r="F10" t="s">
        <v>66</v>
      </c>
      <c r="G10" t="s">
        <v>67</v>
      </c>
      <c r="H10" t="s">
        <v>68</v>
      </c>
      <c r="I10" t="s">
        <v>201</v>
      </c>
      <c r="J10" t="s">
        <v>185</v>
      </c>
      <c r="K10">
        <v>127327968</v>
      </c>
      <c r="L10">
        <f t="shared" si="0"/>
        <v>12732796800000</v>
      </c>
      <c r="M10" s="3">
        <f t="shared" si="1"/>
        <v>1143376.8616089625</v>
      </c>
    </row>
    <row r="11" spans="1:13" x14ac:dyDescent="0.3">
      <c r="A11">
        <v>2008</v>
      </c>
      <c r="B11" t="s">
        <v>202</v>
      </c>
      <c r="C11" t="s">
        <v>50</v>
      </c>
      <c r="D11" t="s">
        <v>11</v>
      </c>
      <c r="E11" t="s">
        <v>184</v>
      </c>
      <c r="F11" t="s">
        <v>66</v>
      </c>
      <c r="G11" t="s">
        <v>67</v>
      </c>
      <c r="H11" t="s">
        <v>68</v>
      </c>
      <c r="I11" t="s">
        <v>203</v>
      </c>
      <c r="J11" t="s">
        <v>185</v>
      </c>
      <c r="K11">
        <v>116470249</v>
      </c>
      <c r="L11">
        <f t="shared" si="0"/>
        <v>11647024900000</v>
      </c>
      <c r="M11" s="3">
        <f t="shared" si="1"/>
        <v>1082911.4850295037</v>
      </c>
    </row>
    <row r="12" spans="1:13" x14ac:dyDescent="0.3">
      <c r="A12">
        <v>2008</v>
      </c>
      <c r="B12" t="s">
        <v>204</v>
      </c>
      <c r="C12" t="s">
        <v>50</v>
      </c>
      <c r="D12" t="s">
        <v>11</v>
      </c>
      <c r="E12" t="s">
        <v>184</v>
      </c>
      <c r="F12" t="s">
        <v>66</v>
      </c>
      <c r="G12" t="s">
        <v>67</v>
      </c>
      <c r="H12" t="s">
        <v>68</v>
      </c>
      <c r="I12" t="s">
        <v>205</v>
      </c>
      <c r="J12" t="s">
        <v>185</v>
      </c>
      <c r="K12">
        <v>106511164</v>
      </c>
      <c r="L12">
        <f t="shared" si="0"/>
        <v>10651116400000</v>
      </c>
      <c r="M12" s="3">
        <f t="shared" si="1"/>
        <v>1019791.6894061164</v>
      </c>
    </row>
    <row r="13" spans="1:13" x14ac:dyDescent="0.3">
      <c r="A13">
        <v>2008</v>
      </c>
      <c r="B13" t="s">
        <v>206</v>
      </c>
      <c r="C13" t="s">
        <v>50</v>
      </c>
      <c r="D13" t="s">
        <v>11</v>
      </c>
      <c r="E13" t="s">
        <v>184</v>
      </c>
      <c r="F13" t="s">
        <v>66</v>
      </c>
      <c r="G13" t="s">
        <v>67</v>
      </c>
      <c r="H13" t="s">
        <v>68</v>
      </c>
      <c r="I13" t="s">
        <v>207</v>
      </c>
      <c r="J13" t="s">
        <v>185</v>
      </c>
      <c r="K13">
        <v>100727950</v>
      </c>
      <c r="L13">
        <f t="shared" si="0"/>
        <v>10072795000000</v>
      </c>
      <c r="M13" s="3">
        <f t="shared" si="1"/>
        <v>1002106.027422827</v>
      </c>
    </row>
    <row r="14" spans="1:13" x14ac:dyDescent="0.3">
      <c r="A14">
        <v>2008</v>
      </c>
      <c r="B14" t="s">
        <v>208</v>
      </c>
      <c r="C14" t="s">
        <v>50</v>
      </c>
      <c r="D14" t="s">
        <v>11</v>
      </c>
      <c r="E14" t="s">
        <v>184</v>
      </c>
      <c r="F14" t="s">
        <v>66</v>
      </c>
      <c r="G14" t="s">
        <v>67</v>
      </c>
      <c r="H14" t="s">
        <v>68</v>
      </c>
      <c r="I14" t="s">
        <v>209</v>
      </c>
      <c r="J14" t="s">
        <v>185</v>
      </c>
      <c r="K14">
        <v>90520894</v>
      </c>
      <c r="L14">
        <f t="shared" si="0"/>
        <v>9052089400000</v>
      </c>
      <c r="M14" s="3">
        <f t="shared" si="1"/>
        <v>867211.54579410388</v>
      </c>
    </row>
    <row r="15" spans="1:13" x14ac:dyDescent="0.3">
      <c r="A15">
        <v>2008</v>
      </c>
      <c r="B15" t="s">
        <v>210</v>
      </c>
      <c r="C15" t="s">
        <v>50</v>
      </c>
      <c r="D15" t="s">
        <v>11</v>
      </c>
      <c r="E15" t="s">
        <v>184</v>
      </c>
      <c r="F15" t="s">
        <v>66</v>
      </c>
      <c r="G15" t="s">
        <v>67</v>
      </c>
      <c r="H15" t="s">
        <v>68</v>
      </c>
      <c r="I15" t="s">
        <v>211</v>
      </c>
      <c r="J15" t="s">
        <v>185</v>
      </c>
      <c r="K15">
        <v>82513335</v>
      </c>
      <c r="L15">
        <f t="shared" si="0"/>
        <v>8251333500000</v>
      </c>
      <c r="M15" s="3">
        <f t="shared" si="1"/>
        <v>833302.21158011991</v>
      </c>
    </row>
    <row r="16" spans="1:13" x14ac:dyDescent="0.3">
      <c r="A16">
        <v>2008</v>
      </c>
      <c r="B16" t="s">
        <v>212</v>
      </c>
      <c r="C16" t="s">
        <v>50</v>
      </c>
      <c r="D16" t="s">
        <v>11</v>
      </c>
      <c r="E16" t="s">
        <v>184</v>
      </c>
      <c r="F16" t="s">
        <v>66</v>
      </c>
      <c r="G16" t="s">
        <v>67</v>
      </c>
      <c r="H16" t="s">
        <v>68</v>
      </c>
      <c r="I16" t="s">
        <v>213</v>
      </c>
      <c r="J16" t="s">
        <v>185</v>
      </c>
      <c r="K16">
        <v>69718259</v>
      </c>
      <c r="L16">
        <f t="shared" si="0"/>
        <v>6971825900000</v>
      </c>
      <c r="M16" s="3">
        <f t="shared" si="1"/>
        <v>761299.04315467842</v>
      </c>
    </row>
    <row r="17" spans="1:13" x14ac:dyDescent="0.3">
      <c r="A17">
        <v>2008</v>
      </c>
      <c r="B17" t="s">
        <v>214</v>
      </c>
      <c r="C17" t="s">
        <v>50</v>
      </c>
      <c r="D17" t="s">
        <v>11</v>
      </c>
      <c r="E17" t="s">
        <v>184</v>
      </c>
      <c r="F17" t="s">
        <v>66</v>
      </c>
      <c r="G17" t="s">
        <v>67</v>
      </c>
      <c r="H17" t="s">
        <v>68</v>
      </c>
      <c r="I17" t="s">
        <v>215</v>
      </c>
      <c r="J17" t="s">
        <v>185</v>
      </c>
      <c r="K17">
        <v>61131148</v>
      </c>
      <c r="L17">
        <f t="shared" si="0"/>
        <v>6113114800000</v>
      </c>
      <c r="M17" s="3">
        <f t="shared" si="1"/>
        <v>696512.7504558923</v>
      </c>
    </row>
    <row r="19" spans="1:13" x14ac:dyDescent="0.3">
      <c r="C19" t="s">
        <v>216</v>
      </c>
      <c r="D19" t="s">
        <v>61</v>
      </c>
    </row>
    <row r="20" spans="1:13" x14ac:dyDescent="0.3">
      <c r="B20">
        <v>16</v>
      </c>
      <c r="C20" t="s">
        <v>214</v>
      </c>
      <c r="D20">
        <v>696512.7504558923</v>
      </c>
    </row>
    <row r="21" spans="1:13" x14ac:dyDescent="0.3">
      <c r="B21">
        <v>15</v>
      </c>
      <c r="C21" t="s">
        <v>212</v>
      </c>
      <c r="D21">
        <v>761299.04315467842</v>
      </c>
    </row>
    <row r="22" spans="1:13" x14ac:dyDescent="0.3">
      <c r="B22">
        <v>14</v>
      </c>
      <c r="C22" t="s">
        <v>210</v>
      </c>
      <c r="D22">
        <v>833302.21158011991</v>
      </c>
    </row>
    <row r="23" spans="1:13" x14ac:dyDescent="0.3">
      <c r="B23">
        <v>13</v>
      </c>
      <c r="C23" t="s">
        <v>208</v>
      </c>
      <c r="D23">
        <v>867211.54579410388</v>
      </c>
    </row>
    <row r="24" spans="1:13" x14ac:dyDescent="0.3">
      <c r="B24">
        <v>12</v>
      </c>
      <c r="C24" t="s">
        <v>206</v>
      </c>
      <c r="D24">
        <v>1002106.027422827</v>
      </c>
    </row>
    <row r="25" spans="1:13" x14ac:dyDescent="0.3">
      <c r="B25">
        <v>11</v>
      </c>
      <c r="C25" t="s">
        <v>204</v>
      </c>
      <c r="D25">
        <v>1019791.6894061164</v>
      </c>
    </row>
    <row r="26" spans="1:13" x14ac:dyDescent="0.3">
      <c r="B26">
        <v>10</v>
      </c>
      <c r="C26" t="s">
        <v>202</v>
      </c>
      <c r="D26">
        <v>1082911.4850295037</v>
      </c>
    </row>
    <row r="27" spans="1:13" x14ac:dyDescent="0.3">
      <c r="B27">
        <v>9</v>
      </c>
      <c r="C27" t="s">
        <v>200</v>
      </c>
      <c r="D27">
        <v>1143376.8616089625</v>
      </c>
    </row>
    <row r="28" spans="1:13" x14ac:dyDescent="0.3">
      <c r="B28">
        <v>8</v>
      </c>
      <c r="C28" t="s">
        <v>198</v>
      </c>
      <c r="D28">
        <v>1172988.6880219895</v>
      </c>
    </row>
    <row r="29" spans="1:13" x14ac:dyDescent="0.3">
      <c r="B29">
        <v>7</v>
      </c>
      <c r="C29" t="s">
        <v>196</v>
      </c>
      <c r="D29">
        <v>1200032.54959621</v>
      </c>
    </row>
    <row r="30" spans="1:13" x14ac:dyDescent="0.3">
      <c r="B30">
        <v>6</v>
      </c>
      <c r="C30" t="s">
        <v>194</v>
      </c>
      <c r="D30">
        <v>1201710.1261482907</v>
      </c>
    </row>
    <row r="31" spans="1:13" x14ac:dyDescent="0.3">
      <c r="B31">
        <v>5</v>
      </c>
      <c r="C31" t="s">
        <v>192</v>
      </c>
      <c r="D31">
        <v>1137790.9101407579</v>
      </c>
    </row>
    <row r="32" spans="1:13" x14ac:dyDescent="0.3">
      <c r="B32">
        <v>4</v>
      </c>
      <c r="C32" t="s">
        <v>190</v>
      </c>
      <c r="D32">
        <v>1284005.217171886</v>
      </c>
    </row>
    <row r="33" spans="2:4" x14ac:dyDescent="0.3">
      <c r="B33">
        <v>3</v>
      </c>
      <c r="C33" t="s">
        <v>188</v>
      </c>
      <c r="D33">
        <v>1504762.595783917</v>
      </c>
    </row>
    <row r="34" spans="2:4" x14ac:dyDescent="0.3">
      <c r="B34">
        <v>2</v>
      </c>
      <c r="C34" t="s">
        <v>186</v>
      </c>
      <c r="D34">
        <v>1503085.7282264568</v>
      </c>
    </row>
    <row r="35" spans="2:4" x14ac:dyDescent="0.3">
      <c r="B35">
        <v>1</v>
      </c>
      <c r="C35" t="s">
        <v>9</v>
      </c>
      <c r="D35">
        <v>1583983.8087180266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Samriddhi</dc:creator>
  <cp:lastModifiedBy>Samriddhi Prakash</cp:lastModifiedBy>
  <dcterms:created xsi:type="dcterms:W3CDTF">2026-01-04T12:05:26Z</dcterms:created>
  <dcterms:modified xsi:type="dcterms:W3CDTF">2026-01-04T12:05:26Z</dcterms:modified>
</cp:coreProperties>
</file>